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y\Desktop\"/>
    </mc:Choice>
  </mc:AlternateContent>
  <xr:revisionPtr revIDLastSave="0" documentId="13_ncr:1_{77628787-77CD-459A-B3F8-F3FD219E89C6}" xr6:coauthVersionLast="47" xr6:coauthVersionMax="47" xr10:uidLastSave="{00000000-0000-0000-0000-000000000000}"/>
  <bookViews>
    <workbookView xWindow="-98" yWindow="-98" windowWidth="19396" windowHeight="11475" activeTab="2" xr2:uid="{C98D94CE-3E56-6C46-9EB6-B8A29870920A}"/>
  </bookViews>
  <sheets>
    <sheet name="Calculations_MonitorArea" sheetId="1" r:id="rId1"/>
    <sheet name="Calculations_KeyboardArea" sheetId="2" r:id="rId2"/>
    <sheet name="Case 2_Dashboard" sheetId="4" r:id="rId3"/>
  </sheets>
  <definedNames>
    <definedName name="Bob_Savings_Rate" localSheetId="0">Calculations_MonitorArea!$D$16</definedName>
    <definedName name="Bob_Savings_Rate" localSheetId="2">'Case 2_Dashboard'!$D$16</definedName>
    <definedName name="Income_Growth_Rate" localSheetId="0">Calculations_MonitorArea!$D$11</definedName>
    <definedName name="Income_Growth_Rate" localSheetId="2">'Case 2_Dashboard'!$D$11</definedName>
    <definedName name="PCT_Final_Income" localSheetId="0">Calculations_MonitorArea!$D$17</definedName>
    <definedName name="PCT_Final_Income" localSheetId="2">'Case 2_Dashboard'!$D$17</definedName>
    <definedName name="Retirement_Age">Calculations_MonitorArea!$D$18</definedName>
    <definedName name="ROA_Post" localSheetId="0">Calculations_MonitorArea!$D$10</definedName>
    <definedName name="ROA_Post" localSheetId="2">'Case 2_Dashboard'!$D$10</definedName>
    <definedName name="ROA_Pre" localSheetId="0">Calculations_MonitorArea!$D$9</definedName>
    <definedName name="ROA_Pre" localSheetId="2">'Case 2_Dashboard'!$D$9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74" i="4" l="1"/>
  <c r="AM72" i="4" l="1"/>
  <c r="AL72" i="4"/>
  <c r="AK72" i="4"/>
  <c r="E16" i="1"/>
  <c r="F16" i="1" s="1"/>
  <c r="D16" i="1" s="1"/>
  <c r="N6" i="2" s="1"/>
  <c r="O6" i="2" s="1"/>
  <c r="N7" i="2" s="1"/>
  <c r="M15" i="2"/>
  <c r="M16" i="2" s="1"/>
  <c r="M17" i="2" s="1"/>
  <c r="M18" i="2" s="1"/>
  <c r="M19" i="2" s="1"/>
  <c r="M20" i="2" s="1"/>
  <c r="M21" i="2" s="1"/>
  <c r="M14" i="2"/>
  <c r="E17" i="1"/>
  <c r="F17" i="1" s="1"/>
  <c r="D17" i="1" s="1"/>
  <c r="Q6" i="2" s="1"/>
  <c r="R6" i="2" s="1"/>
  <c r="Q7" i="2" s="1"/>
  <c r="P15" i="2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P50" i="2" s="1"/>
  <c r="P51" i="2" s="1"/>
  <c r="P52" i="2" s="1"/>
  <c r="P53" i="2" s="1"/>
  <c r="P54" i="2" s="1"/>
  <c r="P55" i="2" s="1"/>
  <c r="P56" i="2" s="1"/>
  <c r="P57" i="2" s="1"/>
  <c r="P58" i="2" s="1"/>
  <c r="P59" i="2" s="1"/>
  <c r="P60" i="2" s="1"/>
  <c r="P61" i="2" s="1"/>
  <c r="P62" i="2" s="1"/>
  <c r="P63" i="2" s="1"/>
  <c r="P64" i="2" s="1"/>
  <c r="P65" i="2" s="1"/>
  <c r="P66" i="2" s="1"/>
  <c r="P67" i="2" s="1"/>
  <c r="P68" i="2" s="1"/>
  <c r="P69" i="2" s="1"/>
  <c r="P70" i="2" s="1"/>
  <c r="P71" i="2" s="1"/>
  <c r="P72" i="2" s="1"/>
  <c r="P73" i="2" s="1"/>
  <c r="P74" i="2" s="1"/>
  <c r="P75" i="2" s="1"/>
  <c r="P76" i="2" s="1"/>
  <c r="P77" i="2" s="1"/>
  <c r="P78" i="2" s="1"/>
  <c r="P79" i="2" s="1"/>
  <c r="P80" i="2" s="1"/>
  <c r="P81" i="2" s="1"/>
  <c r="P82" i="2" s="1"/>
  <c r="P83" i="2" s="1"/>
  <c r="P84" i="2" s="1"/>
  <c r="P85" i="2" s="1"/>
  <c r="P86" i="2" s="1"/>
  <c r="P87" i="2" s="1"/>
  <c r="P88" i="2" s="1"/>
  <c r="P89" i="2" s="1"/>
  <c r="P90" i="2" s="1"/>
  <c r="P91" i="2" s="1"/>
  <c r="P92" i="2" s="1"/>
  <c r="P93" i="2" s="1"/>
  <c r="P94" i="2" s="1"/>
  <c r="P95" i="2" s="1"/>
  <c r="P96" i="2" s="1"/>
  <c r="P97" i="2" s="1"/>
  <c r="P98" i="2" s="1"/>
  <c r="P99" i="2" s="1"/>
  <c r="P100" i="2" s="1"/>
  <c r="P101" i="2" s="1"/>
  <c r="P102" i="2" s="1"/>
  <c r="P103" i="2" s="1"/>
  <c r="P104" i="2" s="1"/>
  <c r="P105" i="2" s="1"/>
  <c r="P106" i="2" s="1"/>
  <c r="P107" i="2" s="1"/>
  <c r="P108" i="2" s="1"/>
  <c r="P109" i="2" s="1"/>
  <c r="P110" i="2" s="1"/>
  <c r="P111" i="2" s="1"/>
  <c r="P112" i="2" s="1"/>
  <c r="P113" i="2" s="1"/>
  <c r="P14" i="2"/>
  <c r="D18" i="1"/>
  <c r="Q15" i="2"/>
  <c r="Q16" i="2"/>
  <c r="Q17" i="2"/>
  <c r="Q18" i="2" s="1"/>
  <c r="Q19" i="2" s="1"/>
  <c r="Q20" i="2" s="1"/>
  <c r="Q21" i="2" s="1"/>
  <c r="Q22" i="2" s="1"/>
  <c r="Q23" i="2" s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  <c r="Q59" i="2" s="1"/>
  <c r="Q60" i="2" s="1"/>
  <c r="Q61" i="2" s="1"/>
  <c r="Q62" i="2" s="1"/>
  <c r="Q63" i="2" s="1"/>
  <c r="Q64" i="2" s="1"/>
  <c r="Q65" i="2" s="1"/>
  <c r="Q66" i="2" s="1"/>
  <c r="Q67" i="2" s="1"/>
  <c r="Q68" i="2" s="1"/>
  <c r="Q69" i="2" s="1"/>
  <c r="Q70" i="2" s="1"/>
  <c r="Q71" i="2" s="1"/>
  <c r="Q72" i="2" s="1"/>
  <c r="Q73" i="2" s="1"/>
  <c r="Q74" i="2" s="1"/>
  <c r="Q75" i="2" s="1"/>
  <c r="Q76" i="2" s="1"/>
  <c r="Q77" i="2" s="1"/>
  <c r="Q78" i="2" s="1"/>
  <c r="Q79" i="2" s="1"/>
  <c r="Q80" i="2" s="1"/>
  <c r="Q81" i="2" s="1"/>
  <c r="Q82" i="2" s="1"/>
  <c r="Q83" i="2" s="1"/>
  <c r="Q84" i="2" s="1"/>
  <c r="Q85" i="2" s="1"/>
  <c r="Q86" i="2" s="1"/>
  <c r="Q87" i="2" s="1"/>
  <c r="Q88" i="2" s="1"/>
  <c r="Q89" i="2" s="1"/>
  <c r="Q90" i="2" s="1"/>
  <c r="Q91" i="2" s="1"/>
  <c r="Q92" i="2" s="1"/>
  <c r="Q93" i="2" s="1"/>
  <c r="Q94" i="2" s="1"/>
  <c r="Q95" i="2" s="1"/>
  <c r="Q96" i="2" s="1"/>
  <c r="Q97" i="2" s="1"/>
  <c r="Q98" i="2" s="1"/>
  <c r="Q99" i="2" s="1"/>
  <c r="Q100" i="2" s="1"/>
  <c r="Q101" i="2" s="1"/>
  <c r="Q102" i="2" s="1"/>
  <c r="Q103" i="2" s="1"/>
  <c r="Q104" i="2" s="1"/>
  <c r="Q105" i="2" s="1"/>
  <c r="Q106" i="2" s="1"/>
  <c r="Q107" i="2" s="1"/>
  <c r="Q108" i="2" s="1"/>
  <c r="Q109" i="2" s="1"/>
  <c r="Q110" i="2" s="1"/>
  <c r="Q111" i="2" s="1"/>
  <c r="Q112" i="2" s="1"/>
  <c r="Q113" i="2" s="1"/>
  <c r="Q14" i="2"/>
  <c r="E17" i="2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16" i="2"/>
  <c r="N14" i="2"/>
  <c r="N15" i="2" s="1"/>
  <c r="N16" i="2" s="1"/>
  <c r="D16" i="2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G22" i="1"/>
  <c r="D22" i="1"/>
  <c r="C22" i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F22" i="1" l="1"/>
  <c r="D4" i="2"/>
  <c r="D5" i="2" s="1"/>
  <c r="J22" i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Q22" i="1"/>
  <c r="Q23" i="1" s="1"/>
  <c r="Q24" i="1" s="1"/>
  <c r="Q25" i="1" s="1"/>
  <c r="M14" i="1"/>
  <c r="S44" i="4" s="1"/>
  <c r="N17" i="2"/>
  <c r="N18" i="2" s="1"/>
  <c r="N19" i="2" s="1"/>
  <c r="N20" i="2" s="1"/>
  <c r="N21" i="2" s="1"/>
  <c r="D23" i="1"/>
  <c r="E22" i="1"/>
  <c r="H22" i="1" s="1"/>
  <c r="G23" i="1" s="1"/>
  <c r="Q26" i="1" l="1"/>
  <c r="J45" i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D24" i="1"/>
  <c r="N10" i="1"/>
  <c r="O10" i="1" s="1"/>
  <c r="F23" i="1"/>
  <c r="E23" i="1"/>
  <c r="Q27" i="1" l="1"/>
  <c r="J118" i="1"/>
  <c r="H23" i="1"/>
  <c r="G24" i="1" s="1"/>
  <c r="D25" i="1"/>
  <c r="E24" i="1"/>
  <c r="F24" i="1"/>
  <c r="Q28" i="1" l="1"/>
  <c r="J119" i="1"/>
  <c r="H24" i="1"/>
  <c r="G25" i="1" s="1"/>
  <c r="F25" i="1"/>
  <c r="E25" i="1"/>
  <c r="D26" i="1"/>
  <c r="Q29" i="1" l="1"/>
  <c r="J120" i="1"/>
  <c r="E26" i="1"/>
  <c r="F26" i="1"/>
  <c r="D27" i="1"/>
  <c r="E8" i="1" s="1"/>
  <c r="H25" i="1"/>
  <c r="G26" i="1" s="1"/>
  <c r="Q30" i="1" l="1"/>
  <c r="J121" i="1"/>
  <c r="F27" i="1"/>
  <c r="E27" i="1"/>
  <c r="D28" i="1"/>
  <c r="H26" i="1"/>
  <c r="G27" i="1" s="1"/>
  <c r="Q31" i="1" l="1"/>
  <c r="J122" i="1"/>
  <c r="F28" i="1"/>
  <c r="E28" i="1"/>
  <c r="D29" i="1"/>
  <c r="F8" i="1" s="1"/>
  <c r="H27" i="1"/>
  <c r="G28" i="1" s="1"/>
  <c r="Q32" i="1" l="1"/>
  <c r="J123" i="1"/>
  <c r="E29" i="1"/>
  <c r="G8" i="1" s="1"/>
  <c r="F29" i="1"/>
  <c r="D30" i="1"/>
  <c r="H28" i="1"/>
  <c r="G29" i="1" s="1"/>
  <c r="J124" i="1" l="1"/>
  <c r="Q33" i="1"/>
  <c r="H8" i="1"/>
  <c r="I8" i="1" s="1"/>
  <c r="E30" i="1"/>
  <c r="F30" i="1"/>
  <c r="D31" i="1"/>
  <c r="H29" i="1"/>
  <c r="G30" i="1" s="1"/>
  <c r="J125" i="1" l="1"/>
  <c r="Q34" i="1"/>
  <c r="F31" i="1"/>
  <c r="D32" i="1"/>
  <c r="E31" i="1"/>
  <c r="H30" i="1"/>
  <c r="G31" i="1" s="1"/>
  <c r="Q35" i="1" l="1"/>
  <c r="J126" i="1"/>
  <c r="H31" i="1"/>
  <c r="G32" i="1" s="1"/>
  <c r="F32" i="1"/>
  <c r="E32" i="1"/>
  <c r="D33" i="1"/>
  <c r="J127" i="1" l="1"/>
  <c r="Q36" i="1"/>
  <c r="H32" i="1"/>
  <c r="G33" i="1" s="1"/>
  <c r="F33" i="1"/>
  <c r="E33" i="1"/>
  <c r="D34" i="1"/>
  <c r="Q37" i="1" l="1"/>
  <c r="J128" i="1"/>
  <c r="H33" i="1"/>
  <c r="G34" i="1" s="1"/>
  <c r="F34" i="1"/>
  <c r="D35" i="1"/>
  <c r="E34" i="1"/>
  <c r="J129" i="1" l="1"/>
  <c r="Q38" i="1"/>
  <c r="H34" i="1"/>
  <c r="G35" i="1" s="1"/>
  <c r="D36" i="1"/>
  <c r="F35" i="1"/>
  <c r="E35" i="1"/>
  <c r="Q39" i="1" l="1"/>
  <c r="J130" i="1"/>
  <c r="F36" i="1"/>
  <c r="D37" i="1"/>
  <c r="E36" i="1"/>
  <c r="H35" i="1"/>
  <c r="G36" i="1" s="1"/>
  <c r="J131" i="1" l="1"/>
  <c r="Q40" i="1"/>
  <c r="H36" i="1"/>
  <c r="G37" i="1" s="1"/>
  <c r="E37" i="1"/>
  <c r="F37" i="1"/>
  <c r="D38" i="1"/>
  <c r="Q41" i="1" l="1"/>
  <c r="J132" i="1"/>
  <c r="H37" i="1"/>
  <c r="G38" i="1" s="1"/>
  <c r="F38" i="1"/>
  <c r="D39" i="1"/>
  <c r="E38" i="1"/>
  <c r="J133" i="1" l="1"/>
  <c r="Q42" i="1"/>
  <c r="H38" i="1"/>
  <c r="G39" i="1" s="1"/>
  <c r="D40" i="1"/>
  <c r="E39" i="1"/>
  <c r="F39" i="1"/>
  <c r="Q43" i="1" l="1"/>
  <c r="J134" i="1"/>
  <c r="H39" i="1"/>
  <c r="G40" i="1" s="1"/>
  <c r="F40" i="1"/>
  <c r="D41" i="1"/>
  <c r="E40" i="1"/>
  <c r="J135" i="1" l="1"/>
  <c r="Q44" i="1"/>
  <c r="H40" i="1"/>
  <c r="G41" i="1" s="1"/>
  <c r="F41" i="1"/>
  <c r="E41" i="1"/>
  <c r="D42" i="1"/>
  <c r="Q45" i="1" l="1"/>
  <c r="J136" i="1"/>
  <c r="H41" i="1"/>
  <c r="G42" i="1" s="1"/>
  <c r="F42" i="1"/>
  <c r="D43" i="1"/>
  <c r="E42" i="1"/>
  <c r="J137" i="1" l="1"/>
  <c r="Q46" i="1"/>
  <c r="H42" i="1"/>
  <c r="G43" i="1" s="1"/>
  <c r="D44" i="1"/>
  <c r="F43" i="1"/>
  <c r="E43" i="1"/>
  <c r="Q47" i="1" l="1"/>
  <c r="J138" i="1"/>
  <c r="F44" i="1"/>
  <c r="E44" i="1"/>
  <c r="D45" i="1"/>
  <c r="H43" i="1"/>
  <c r="G44" i="1" s="1"/>
  <c r="J139" i="1" l="1"/>
  <c r="Q48" i="1"/>
  <c r="F45" i="1"/>
  <c r="E45" i="1"/>
  <c r="D46" i="1"/>
  <c r="N14" i="1" s="1"/>
  <c r="N16" i="1" s="1"/>
  <c r="H44" i="1"/>
  <c r="G45" i="1" s="1"/>
  <c r="Q49" i="1" l="1"/>
  <c r="J140" i="1"/>
  <c r="H45" i="1"/>
  <c r="G46" i="1" s="1"/>
  <c r="F46" i="1"/>
  <c r="E46" i="1"/>
  <c r="D47" i="1"/>
  <c r="J141" i="1" l="1"/>
  <c r="Q50" i="1"/>
  <c r="F47" i="1"/>
  <c r="E47" i="1"/>
  <c r="D48" i="1"/>
  <c r="H46" i="1"/>
  <c r="G47" i="1" s="1"/>
  <c r="Q51" i="1" l="1"/>
  <c r="J142" i="1"/>
  <c r="H47" i="1"/>
  <c r="G48" i="1" s="1"/>
  <c r="F48" i="1"/>
  <c r="E48" i="1"/>
  <c r="D49" i="1"/>
  <c r="J143" i="1" l="1"/>
  <c r="Q52" i="1"/>
  <c r="H48" i="1"/>
  <c r="G49" i="1" s="1"/>
  <c r="D50" i="1"/>
  <c r="E49" i="1"/>
  <c r="F49" i="1"/>
  <c r="Q53" i="1" l="1"/>
  <c r="J144" i="1"/>
  <c r="H49" i="1"/>
  <c r="G50" i="1" s="1"/>
  <c r="F50" i="1"/>
  <c r="E50" i="1"/>
  <c r="D51" i="1"/>
  <c r="J145" i="1" l="1"/>
  <c r="Q54" i="1"/>
  <c r="H50" i="1"/>
  <c r="G51" i="1" s="1"/>
  <c r="F51" i="1"/>
  <c r="D52" i="1"/>
  <c r="E51" i="1"/>
  <c r="Q55" i="1" l="1"/>
  <c r="J146" i="1"/>
  <c r="H51" i="1"/>
  <c r="G52" i="1" s="1"/>
  <c r="E52" i="1"/>
  <c r="F52" i="1"/>
  <c r="D53" i="1"/>
  <c r="J147" i="1" l="1"/>
  <c r="Q56" i="1"/>
  <c r="H52" i="1"/>
  <c r="G53" i="1" s="1"/>
  <c r="E53" i="1"/>
  <c r="F53" i="1"/>
  <c r="D54" i="1"/>
  <c r="K22" i="1" s="1"/>
  <c r="O14" i="1" s="1"/>
  <c r="O16" i="1" s="1"/>
  <c r="J148" i="1" l="1"/>
  <c r="Q57" i="1"/>
  <c r="L22" i="1"/>
  <c r="P14" i="1" s="1"/>
  <c r="P16" i="1" s="1"/>
  <c r="K23" i="1"/>
  <c r="H53" i="1"/>
  <c r="G54" i="1" s="1"/>
  <c r="F54" i="1"/>
  <c r="E54" i="1"/>
  <c r="Q14" i="1" s="1"/>
  <c r="D55" i="1"/>
  <c r="Q58" i="1" l="1"/>
  <c r="J149" i="1"/>
  <c r="L23" i="1"/>
  <c r="K24" i="1"/>
  <c r="H54" i="1"/>
  <c r="E55" i="1"/>
  <c r="F55" i="1"/>
  <c r="D56" i="1"/>
  <c r="Q59" i="1" l="1"/>
  <c r="J150" i="1"/>
  <c r="G55" i="1"/>
  <c r="H55" i="1" s="1"/>
  <c r="G56" i="1" s="1"/>
  <c r="K25" i="1"/>
  <c r="L24" i="1"/>
  <c r="F56" i="1"/>
  <c r="E56" i="1"/>
  <c r="D57" i="1"/>
  <c r="Q60" i="1" l="1"/>
  <c r="J151" i="1"/>
  <c r="K26" i="1"/>
  <c r="L25" i="1"/>
  <c r="D58" i="1"/>
  <c r="F57" i="1"/>
  <c r="E57" i="1"/>
  <c r="H56" i="1"/>
  <c r="G57" i="1" s="1"/>
  <c r="Q61" i="1" l="1"/>
  <c r="J152" i="1"/>
  <c r="L26" i="1"/>
  <c r="K27" i="1"/>
  <c r="H57" i="1"/>
  <c r="G58" i="1" s="1"/>
  <c r="E58" i="1"/>
  <c r="D59" i="1"/>
  <c r="F58" i="1"/>
  <c r="J153" i="1" l="1"/>
  <c r="Q62" i="1"/>
  <c r="K28" i="1"/>
  <c r="L27" i="1"/>
  <c r="H58" i="1"/>
  <c r="G59" i="1" s="1"/>
  <c r="E59" i="1"/>
  <c r="F59" i="1"/>
  <c r="D60" i="1"/>
  <c r="Q63" i="1" l="1"/>
  <c r="J154" i="1"/>
  <c r="L28" i="1"/>
  <c r="K29" i="1"/>
  <c r="H59" i="1"/>
  <c r="G60" i="1" s="1"/>
  <c r="E60" i="1"/>
  <c r="D61" i="1"/>
  <c r="F60" i="1"/>
  <c r="J155" i="1" l="1"/>
  <c r="Q64" i="1"/>
  <c r="L29" i="1"/>
  <c r="K30" i="1"/>
  <c r="H60" i="1"/>
  <c r="G61" i="1" s="1"/>
  <c r="F61" i="1"/>
  <c r="D62" i="1"/>
  <c r="E61" i="1"/>
  <c r="Q65" i="1" l="1"/>
  <c r="J156" i="1"/>
  <c r="K31" i="1"/>
  <c r="L30" i="1"/>
  <c r="H61" i="1"/>
  <c r="G62" i="1" s="1"/>
  <c r="E62" i="1"/>
  <c r="D63" i="1"/>
  <c r="F62" i="1"/>
  <c r="J157" i="1" l="1"/>
  <c r="Q66" i="1"/>
  <c r="K32" i="1"/>
  <c r="L31" i="1"/>
  <c r="H62" i="1"/>
  <c r="G63" i="1" s="1"/>
  <c r="E63" i="1"/>
  <c r="D64" i="1"/>
  <c r="F63" i="1"/>
  <c r="Q67" i="1" l="1"/>
  <c r="J158" i="1"/>
  <c r="L32" i="1"/>
  <c r="K33" i="1"/>
  <c r="F64" i="1"/>
  <c r="D65" i="1"/>
  <c r="E64" i="1"/>
  <c r="H63" i="1"/>
  <c r="G64" i="1" s="1"/>
  <c r="J159" i="1" l="1"/>
  <c r="Q68" i="1"/>
  <c r="K34" i="1"/>
  <c r="L33" i="1"/>
  <c r="H64" i="1"/>
  <c r="G65" i="1" s="1"/>
  <c r="D66" i="1"/>
  <c r="F65" i="1"/>
  <c r="E65" i="1"/>
  <c r="Q69" i="1" l="1"/>
  <c r="J160" i="1"/>
  <c r="L34" i="1"/>
  <c r="K35" i="1"/>
  <c r="H65" i="1"/>
  <c r="G66" i="1" s="1"/>
  <c r="S14" i="1" s="1"/>
  <c r="T14" i="1" s="1"/>
  <c r="F66" i="1"/>
  <c r="R14" i="1" s="1"/>
  <c r="E66" i="1"/>
  <c r="U14" i="1" l="1"/>
  <c r="J161" i="1"/>
  <c r="Q70" i="1"/>
  <c r="K36" i="1"/>
  <c r="L35" i="1"/>
  <c r="H66" i="1"/>
  <c r="M22" i="1" s="1"/>
  <c r="N22" i="1" s="1"/>
  <c r="M23" i="1" l="1"/>
  <c r="N23" i="1" s="1"/>
  <c r="V14" i="1"/>
  <c r="AI29" i="4" s="1"/>
  <c r="R22" i="1"/>
  <c r="O22" i="1"/>
  <c r="AD40" i="4"/>
  <c r="R15" i="1"/>
  <c r="S15" i="1"/>
  <c r="T15" i="1"/>
  <c r="Q15" i="1"/>
  <c r="Q71" i="1"/>
  <c r="J162" i="1"/>
  <c r="K37" i="1"/>
  <c r="L36" i="1"/>
  <c r="R23" i="1" l="1"/>
  <c r="O23" i="1"/>
  <c r="M24" i="1"/>
  <c r="N24" i="1" s="1"/>
  <c r="Q72" i="1"/>
  <c r="J163" i="1"/>
  <c r="K38" i="1"/>
  <c r="L37" i="1"/>
  <c r="R24" i="1" l="1"/>
  <c r="O24" i="1"/>
  <c r="M25" i="1"/>
  <c r="N25" i="1" s="1"/>
  <c r="J164" i="1"/>
  <c r="Q73" i="1"/>
  <c r="L38" i="1"/>
  <c r="K39" i="1"/>
  <c r="R25" i="1" l="1"/>
  <c r="M26" i="1"/>
  <c r="N26" i="1" s="1"/>
  <c r="O25" i="1"/>
  <c r="Q74" i="1"/>
  <c r="J165" i="1"/>
  <c r="L39" i="1"/>
  <c r="K40" i="1"/>
  <c r="R26" i="1" l="1"/>
  <c r="M27" i="1"/>
  <c r="N27" i="1" s="1"/>
  <c r="O26" i="1"/>
  <c r="Q75" i="1"/>
  <c r="J166" i="1"/>
  <c r="K41" i="1"/>
  <c r="L40" i="1"/>
  <c r="R27" i="1" l="1"/>
  <c r="O27" i="1"/>
  <c r="M28" i="1"/>
  <c r="N28" i="1" s="1"/>
  <c r="Q76" i="1"/>
  <c r="J167" i="1"/>
  <c r="L41" i="1"/>
  <c r="K42" i="1"/>
  <c r="R28" i="1" l="1"/>
  <c r="M29" i="1"/>
  <c r="N29" i="1" s="1"/>
  <c r="O28" i="1"/>
  <c r="Q77" i="1"/>
  <c r="J168" i="1"/>
  <c r="L42" i="1"/>
  <c r="K43" i="1"/>
  <c r="R29" i="1" l="1"/>
  <c r="M30" i="1"/>
  <c r="N30" i="1" s="1"/>
  <c r="O29" i="1"/>
  <c r="Q78" i="1"/>
  <c r="J169" i="1"/>
  <c r="K44" i="1"/>
  <c r="L43" i="1"/>
  <c r="R30" i="1" l="1"/>
  <c r="O30" i="1"/>
  <c r="M31" i="1"/>
  <c r="N31" i="1" s="1"/>
  <c r="J170" i="1"/>
  <c r="Q79" i="1"/>
  <c r="L44" i="1"/>
  <c r="K45" i="1"/>
  <c r="R31" i="1" l="1"/>
  <c r="M32" i="1"/>
  <c r="N32" i="1" s="1"/>
  <c r="O31" i="1"/>
  <c r="Q80" i="1"/>
  <c r="J171" i="1"/>
  <c r="L45" i="1"/>
  <c r="K46" i="1"/>
  <c r="R32" i="1" l="1"/>
  <c r="O32" i="1"/>
  <c r="M33" i="1"/>
  <c r="N33" i="1" s="1"/>
  <c r="Q81" i="1"/>
  <c r="J172" i="1"/>
  <c r="L46" i="1"/>
  <c r="K47" i="1"/>
  <c r="R33" i="1" l="1"/>
  <c r="M34" i="1"/>
  <c r="N34" i="1" s="1"/>
  <c r="O33" i="1"/>
  <c r="J173" i="1"/>
  <c r="Q82" i="1"/>
  <c r="K48" i="1"/>
  <c r="L47" i="1"/>
  <c r="R34" i="1" l="1"/>
  <c r="O34" i="1"/>
  <c r="M35" i="1"/>
  <c r="N35" i="1" s="1"/>
  <c r="Q83" i="1"/>
  <c r="J174" i="1"/>
  <c r="K49" i="1"/>
  <c r="L48" i="1"/>
  <c r="R35" i="1" l="1"/>
  <c r="M36" i="1"/>
  <c r="N36" i="1" s="1"/>
  <c r="O35" i="1"/>
  <c r="J175" i="1"/>
  <c r="Q84" i="1"/>
  <c r="K50" i="1"/>
  <c r="L49" i="1"/>
  <c r="R36" i="1" l="1"/>
  <c r="M37" i="1"/>
  <c r="N37" i="1" s="1"/>
  <c r="O36" i="1"/>
  <c r="Q85" i="1"/>
  <c r="J176" i="1"/>
  <c r="L50" i="1"/>
  <c r="K51" i="1"/>
  <c r="R37" i="1" l="1"/>
  <c r="O37" i="1"/>
  <c r="M38" i="1"/>
  <c r="N38" i="1" s="1"/>
  <c r="J177" i="1"/>
  <c r="Q86" i="1"/>
  <c r="L51" i="1"/>
  <c r="K52" i="1"/>
  <c r="R38" i="1" l="1"/>
  <c r="M39" i="1"/>
  <c r="N39" i="1" s="1"/>
  <c r="O38" i="1"/>
  <c r="Q87" i="1"/>
  <c r="J178" i="1"/>
  <c r="K53" i="1"/>
  <c r="L52" i="1"/>
  <c r="R39" i="1" l="1"/>
  <c r="M40" i="1"/>
  <c r="N40" i="1" s="1"/>
  <c r="O39" i="1"/>
  <c r="J179" i="1"/>
  <c r="Q88" i="1"/>
  <c r="K54" i="1"/>
  <c r="L53" i="1"/>
  <c r="R40" i="1" l="1"/>
  <c r="O40" i="1"/>
  <c r="M41" i="1"/>
  <c r="N41" i="1" s="1"/>
  <c r="Q89" i="1"/>
  <c r="J180" i="1"/>
  <c r="L54" i="1"/>
  <c r="K55" i="1"/>
  <c r="R41" i="1" l="1"/>
  <c r="O41" i="1"/>
  <c r="M42" i="1"/>
  <c r="N42" i="1" s="1"/>
  <c r="J181" i="1"/>
  <c r="Q90" i="1"/>
  <c r="L55" i="1"/>
  <c r="K56" i="1"/>
  <c r="R42" i="1" l="1"/>
  <c r="O42" i="1"/>
  <c r="M43" i="1"/>
  <c r="N43" i="1" s="1"/>
  <c r="Q91" i="1"/>
  <c r="J182" i="1"/>
  <c r="K57" i="1"/>
  <c r="L56" i="1"/>
  <c r="R43" i="1" l="1"/>
  <c r="M44" i="1"/>
  <c r="N44" i="1" s="1"/>
  <c r="O43" i="1"/>
  <c r="J183" i="1"/>
  <c r="Q92" i="1"/>
  <c r="K58" i="1"/>
  <c r="L57" i="1"/>
  <c r="R44" i="1" l="1"/>
  <c r="O44" i="1"/>
  <c r="M45" i="1"/>
  <c r="N45" i="1" s="1"/>
  <c r="Q93" i="1"/>
  <c r="J184" i="1"/>
  <c r="L58" i="1"/>
  <c r="K59" i="1"/>
  <c r="R45" i="1" l="1"/>
  <c r="M46" i="1"/>
  <c r="N46" i="1" s="1"/>
  <c r="O45" i="1"/>
  <c r="J185" i="1"/>
  <c r="Q94" i="1"/>
  <c r="L59" i="1"/>
  <c r="K60" i="1"/>
  <c r="R46" i="1" l="1"/>
  <c r="M47" i="1"/>
  <c r="N47" i="1" s="1"/>
  <c r="O46" i="1"/>
  <c r="Q95" i="1"/>
  <c r="J186" i="1"/>
  <c r="K61" i="1"/>
  <c r="L60" i="1"/>
  <c r="R47" i="1" l="1"/>
  <c r="O47" i="1"/>
  <c r="M48" i="1"/>
  <c r="N48" i="1" s="1"/>
  <c r="J187" i="1"/>
  <c r="Q96" i="1"/>
  <c r="K62" i="1"/>
  <c r="L61" i="1"/>
  <c r="R48" i="1" l="1"/>
  <c r="M49" i="1"/>
  <c r="N49" i="1" s="1"/>
  <c r="O48" i="1"/>
  <c r="Q97" i="1"/>
  <c r="J188" i="1"/>
  <c r="L62" i="1"/>
  <c r="K63" i="1"/>
  <c r="R49" i="1" l="1"/>
  <c r="O49" i="1"/>
  <c r="M50" i="1"/>
  <c r="N50" i="1" s="1"/>
  <c r="J189" i="1"/>
  <c r="Q98" i="1"/>
  <c r="L63" i="1"/>
  <c r="K64" i="1"/>
  <c r="R50" i="1" l="1"/>
  <c r="M51" i="1"/>
  <c r="N51" i="1" s="1"/>
  <c r="O50" i="1"/>
  <c r="Q99" i="1"/>
  <c r="J190" i="1"/>
  <c r="K65" i="1"/>
  <c r="L64" i="1"/>
  <c r="R51" i="1" l="1"/>
  <c r="M52" i="1"/>
  <c r="N52" i="1" s="1"/>
  <c r="O51" i="1"/>
  <c r="J191" i="1"/>
  <c r="Q100" i="1"/>
  <c r="K66" i="1"/>
  <c r="L65" i="1"/>
  <c r="R52" i="1" l="1"/>
  <c r="M53" i="1"/>
  <c r="N53" i="1" s="1"/>
  <c r="O52" i="1"/>
  <c r="Q101" i="1"/>
  <c r="J192" i="1"/>
  <c r="L66" i="1"/>
  <c r="K67" i="1"/>
  <c r="R53" i="1" l="1"/>
  <c r="M54" i="1"/>
  <c r="N54" i="1" s="1"/>
  <c r="O53" i="1"/>
  <c r="J193" i="1"/>
  <c r="Q102" i="1"/>
  <c r="L67" i="1"/>
  <c r="K68" i="1"/>
  <c r="R54" i="1" l="1"/>
  <c r="M55" i="1"/>
  <c r="N55" i="1" s="1"/>
  <c r="O54" i="1"/>
  <c r="Q103" i="1"/>
  <c r="J194" i="1"/>
  <c r="L68" i="1"/>
  <c r="K69" i="1"/>
  <c r="R55" i="1" l="1"/>
  <c r="O55" i="1"/>
  <c r="M56" i="1"/>
  <c r="N56" i="1" s="1"/>
  <c r="J195" i="1"/>
  <c r="Q104" i="1"/>
  <c r="K70" i="1"/>
  <c r="L69" i="1"/>
  <c r="R56" i="1" l="1"/>
  <c r="M57" i="1"/>
  <c r="N57" i="1" s="1"/>
  <c r="O56" i="1"/>
  <c r="Q105" i="1"/>
  <c r="J196" i="1"/>
  <c r="K71" i="1"/>
  <c r="L70" i="1"/>
  <c r="R57" i="1" l="1"/>
  <c r="M58" i="1"/>
  <c r="N58" i="1" s="1"/>
  <c r="O57" i="1"/>
  <c r="J197" i="1"/>
  <c r="Q106" i="1"/>
  <c r="L71" i="1"/>
  <c r="K72" i="1"/>
  <c r="R58" i="1" l="1"/>
  <c r="M59" i="1"/>
  <c r="N59" i="1" s="1"/>
  <c r="O58" i="1"/>
  <c r="Q107" i="1"/>
  <c r="J198" i="1"/>
  <c r="K73" i="1"/>
  <c r="L72" i="1"/>
  <c r="R59" i="1" l="1"/>
  <c r="O59" i="1"/>
  <c r="M60" i="1"/>
  <c r="N60" i="1" s="1"/>
  <c r="J199" i="1"/>
  <c r="Q108" i="1"/>
  <c r="K74" i="1"/>
  <c r="L73" i="1"/>
  <c r="R60" i="1" l="1"/>
  <c r="O60" i="1"/>
  <c r="M61" i="1"/>
  <c r="N61" i="1" s="1"/>
  <c r="Q109" i="1"/>
  <c r="J200" i="1"/>
  <c r="K75" i="1"/>
  <c r="L74" i="1"/>
  <c r="R61" i="1" l="1"/>
  <c r="O61" i="1"/>
  <c r="M62" i="1"/>
  <c r="N62" i="1" s="1"/>
  <c r="J201" i="1"/>
  <c r="Q110" i="1"/>
  <c r="L75" i="1"/>
  <c r="K76" i="1"/>
  <c r="R62" i="1" l="1"/>
  <c r="O62" i="1"/>
  <c r="M63" i="1"/>
  <c r="N63" i="1" s="1"/>
  <c r="Q111" i="1"/>
  <c r="J202" i="1"/>
  <c r="L76" i="1"/>
  <c r="K77" i="1"/>
  <c r="R63" i="1" l="1"/>
  <c r="O63" i="1"/>
  <c r="M64" i="1"/>
  <c r="N64" i="1" s="1"/>
  <c r="J203" i="1"/>
  <c r="Q112" i="1"/>
  <c r="L77" i="1"/>
  <c r="K78" i="1"/>
  <c r="R64" i="1" l="1"/>
  <c r="O64" i="1"/>
  <c r="M65" i="1"/>
  <c r="N65" i="1" s="1"/>
  <c r="Q113" i="1"/>
  <c r="J204" i="1"/>
  <c r="K79" i="1"/>
  <c r="L78" i="1"/>
  <c r="R65" i="1" l="1"/>
  <c r="O65" i="1"/>
  <c r="M66" i="1"/>
  <c r="N66" i="1" s="1"/>
  <c r="J205" i="1"/>
  <c r="Q114" i="1"/>
  <c r="L79" i="1"/>
  <c r="K80" i="1"/>
  <c r="R66" i="1" l="1"/>
  <c r="M67" i="1"/>
  <c r="N67" i="1" s="1"/>
  <c r="O66" i="1"/>
  <c r="Q115" i="1"/>
  <c r="J206" i="1"/>
  <c r="K81" i="1"/>
  <c r="L80" i="1"/>
  <c r="R67" i="1" l="1"/>
  <c r="M68" i="1"/>
  <c r="N68" i="1" s="1"/>
  <c r="O67" i="1"/>
  <c r="J207" i="1"/>
  <c r="Q116" i="1"/>
  <c r="L81" i="1"/>
  <c r="K82" i="1"/>
  <c r="R68" i="1" l="1"/>
  <c r="M69" i="1"/>
  <c r="N69" i="1" s="1"/>
  <c r="O68" i="1"/>
  <c r="J208" i="1"/>
  <c r="L82" i="1"/>
  <c r="K83" i="1"/>
  <c r="R69" i="1" l="1"/>
  <c r="M70" i="1"/>
  <c r="N70" i="1" s="1"/>
  <c r="O69" i="1"/>
  <c r="J209" i="1"/>
  <c r="L83" i="1"/>
  <c r="K84" i="1"/>
  <c r="R70" i="1" l="1"/>
  <c r="O70" i="1"/>
  <c r="M71" i="1"/>
  <c r="N71" i="1" s="1"/>
  <c r="J210" i="1"/>
  <c r="K85" i="1"/>
  <c r="L84" i="1"/>
  <c r="R71" i="1" l="1"/>
  <c r="O71" i="1"/>
  <c r="M72" i="1"/>
  <c r="N72" i="1" s="1"/>
  <c r="J211" i="1"/>
  <c r="L85" i="1"/>
  <c r="K86" i="1"/>
  <c r="R72" i="1" l="1"/>
  <c r="M73" i="1"/>
  <c r="N73" i="1" s="1"/>
  <c r="O72" i="1"/>
  <c r="J212" i="1"/>
  <c r="L86" i="1"/>
  <c r="K87" i="1"/>
  <c r="R73" i="1" l="1"/>
  <c r="M74" i="1"/>
  <c r="N74" i="1" s="1"/>
  <c r="O73" i="1"/>
  <c r="L87" i="1"/>
  <c r="K88" i="1"/>
  <c r="R74" i="1" l="1"/>
  <c r="M75" i="1"/>
  <c r="N75" i="1" s="1"/>
  <c r="O74" i="1"/>
  <c r="L88" i="1"/>
  <c r="K89" i="1"/>
  <c r="R75" i="1" l="1"/>
  <c r="O75" i="1"/>
  <c r="M76" i="1"/>
  <c r="N76" i="1" s="1"/>
  <c r="L89" i="1"/>
  <c r="K90" i="1"/>
  <c r="R76" i="1" l="1"/>
  <c r="O76" i="1"/>
  <c r="M77" i="1"/>
  <c r="N77" i="1" s="1"/>
  <c r="L90" i="1"/>
  <c r="K91" i="1"/>
  <c r="R77" i="1" l="1"/>
  <c r="M78" i="1"/>
  <c r="N78" i="1" s="1"/>
  <c r="O77" i="1"/>
  <c r="L91" i="1"/>
  <c r="K92" i="1"/>
  <c r="R78" i="1" l="1"/>
  <c r="O78" i="1"/>
  <c r="M79" i="1"/>
  <c r="N79" i="1" s="1"/>
  <c r="L92" i="1"/>
  <c r="K93" i="1"/>
  <c r="R79" i="1" l="1"/>
  <c r="O79" i="1"/>
  <c r="M80" i="1"/>
  <c r="N80" i="1" s="1"/>
  <c r="L93" i="1"/>
  <c r="K94" i="1"/>
  <c r="R80" i="1" l="1"/>
  <c r="O80" i="1"/>
  <c r="M81" i="1"/>
  <c r="N81" i="1" s="1"/>
  <c r="L94" i="1"/>
  <c r="K95" i="1"/>
  <c r="R81" i="1" l="1"/>
  <c r="M82" i="1"/>
  <c r="N82" i="1" s="1"/>
  <c r="O81" i="1"/>
  <c r="L95" i="1"/>
  <c r="K96" i="1"/>
  <c r="R82" i="1" l="1"/>
  <c r="M83" i="1"/>
  <c r="N83" i="1" s="1"/>
  <c r="O82" i="1"/>
  <c r="K97" i="1"/>
  <c r="L96" i="1"/>
  <c r="R83" i="1" l="1"/>
  <c r="M84" i="1"/>
  <c r="N84" i="1" s="1"/>
  <c r="O83" i="1"/>
  <c r="L97" i="1"/>
  <c r="K98" i="1"/>
  <c r="R84" i="1" l="1"/>
  <c r="O84" i="1"/>
  <c r="M85" i="1"/>
  <c r="N85" i="1" s="1"/>
  <c r="L98" i="1"/>
  <c r="K99" i="1"/>
  <c r="R85" i="1" l="1"/>
  <c r="M86" i="1"/>
  <c r="N86" i="1" s="1"/>
  <c r="O85" i="1"/>
  <c r="L99" i="1"/>
  <c r="K100" i="1"/>
  <c r="R86" i="1" l="1"/>
  <c r="M87" i="1"/>
  <c r="N87" i="1" s="1"/>
  <c r="O86" i="1"/>
  <c r="K101" i="1"/>
  <c r="L100" i="1"/>
  <c r="R87" i="1" l="1"/>
  <c r="O87" i="1"/>
  <c r="M88" i="1"/>
  <c r="N88" i="1" s="1"/>
  <c r="L101" i="1"/>
  <c r="K102" i="1"/>
  <c r="R88" i="1" l="1"/>
  <c r="O88" i="1"/>
  <c r="M89" i="1"/>
  <c r="N89" i="1" s="1"/>
  <c r="L102" i="1"/>
  <c r="K103" i="1"/>
  <c r="R89" i="1" l="1"/>
  <c r="O89" i="1"/>
  <c r="M90" i="1"/>
  <c r="N90" i="1" s="1"/>
  <c r="L103" i="1"/>
  <c r="K104" i="1"/>
  <c r="R90" i="1" l="1"/>
  <c r="O90" i="1"/>
  <c r="M91" i="1"/>
  <c r="N91" i="1" s="1"/>
  <c r="K105" i="1"/>
  <c r="L104" i="1"/>
  <c r="R91" i="1" l="1"/>
  <c r="O91" i="1"/>
  <c r="M92" i="1"/>
  <c r="N92" i="1" s="1"/>
  <c r="L105" i="1"/>
  <c r="K106" i="1"/>
  <c r="R92" i="1" l="1"/>
  <c r="M93" i="1"/>
  <c r="N93" i="1" s="1"/>
  <c r="O92" i="1"/>
  <c r="K107" i="1"/>
  <c r="L106" i="1"/>
  <c r="R93" i="1" l="1"/>
  <c r="M94" i="1"/>
  <c r="N94" i="1" s="1"/>
  <c r="O93" i="1"/>
  <c r="L107" i="1"/>
  <c r="K108" i="1"/>
  <c r="R94" i="1" l="1"/>
  <c r="M95" i="1"/>
  <c r="N95" i="1" s="1"/>
  <c r="O94" i="1"/>
  <c r="K109" i="1"/>
  <c r="L108" i="1"/>
  <c r="R95" i="1" l="1"/>
  <c r="O95" i="1"/>
  <c r="M96" i="1"/>
  <c r="N96" i="1" s="1"/>
  <c r="L109" i="1"/>
  <c r="K110" i="1"/>
  <c r="R96" i="1" l="1"/>
  <c r="O96" i="1"/>
  <c r="M97" i="1"/>
  <c r="N97" i="1" s="1"/>
  <c r="K111" i="1"/>
  <c r="L110" i="1"/>
  <c r="R97" i="1" l="1"/>
  <c r="M98" i="1"/>
  <c r="N98" i="1" s="1"/>
  <c r="O97" i="1"/>
  <c r="L111" i="1"/>
  <c r="K112" i="1"/>
  <c r="R98" i="1" l="1"/>
  <c r="O98" i="1"/>
  <c r="M99" i="1"/>
  <c r="N99" i="1" s="1"/>
  <c r="K113" i="1"/>
  <c r="L112" i="1"/>
  <c r="R99" i="1" l="1"/>
  <c r="M100" i="1"/>
  <c r="N100" i="1" s="1"/>
  <c r="O99" i="1"/>
  <c r="L113" i="1"/>
  <c r="K114" i="1"/>
  <c r="R100" i="1" l="1"/>
  <c r="M101" i="1"/>
  <c r="N101" i="1" s="1"/>
  <c r="O100" i="1"/>
  <c r="K115" i="1"/>
  <c r="L114" i="1"/>
  <c r="R101" i="1" l="1"/>
  <c r="M102" i="1"/>
  <c r="N102" i="1" s="1"/>
  <c r="O101" i="1"/>
  <c r="L115" i="1"/>
  <c r="K116" i="1"/>
  <c r="R102" i="1" l="1"/>
  <c r="O102" i="1"/>
  <c r="M103" i="1"/>
  <c r="N103" i="1" s="1"/>
  <c r="K117" i="1"/>
  <c r="L116" i="1"/>
  <c r="R103" i="1" l="1"/>
  <c r="O103" i="1"/>
  <c r="M104" i="1"/>
  <c r="N104" i="1" s="1"/>
  <c r="L117" i="1"/>
  <c r="K118" i="1"/>
  <c r="R104" i="1" l="1"/>
  <c r="O104" i="1"/>
  <c r="M105" i="1"/>
  <c r="N105" i="1" s="1"/>
  <c r="K119" i="1"/>
  <c r="L118" i="1"/>
  <c r="R105" i="1" l="1"/>
  <c r="M106" i="1"/>
  <c r="N106" i="1" s="1"/>
  <c r="O105" i="1"/>
  <c r="L119" i="1"/>
  <c r="K120" i="1"/>
  <c r="R106" i="1" l="1"/>
  <c r="M107" i="1"/>
  <c r="N107" i="1" s="1"/>
  <c r="O106" i="1"/>
  <c r="K121" i="1"/>
  <c r="L120" i="1"/>
  <c r="R107" i="1" l="1"/>
  <c r="O107" i="1"/>
  <c r="M108" i="1"/>
  <c r="N108" i="1" s="1"/>
  <c r="L121" i="1"/>
  <c r="K122" i="1"/>
  <c r="R108" i="1" l="1"/>
  <c r="M109" i="1"/>
  <c r="N109" i="1" s="1"/>
  <c r="O108" i="1"/>
  <c r="K123" i="1"/>
  <c r="L122" i="1"/>
  <c r="R109" i="1" l="1"/>
  <c r="M110" i="1"/>
  <c r="N110" i="1" s="1"/>
  <c r="O109" i="1"/>
  <c r="L123" i="1"/>
  <c r="K124" i="1"/>
  <c r="R110" i="1" l="1"/>
  <c r="M111" i="1"/>
  <c r="N111" i="1" s="1"/>
  <c r="O110" i="1"/>
  <c r="K125" i="1"/>
  <c r="L124" i="1"/>
  <c r="R111" i="1" l="1"/>
  <c r="M112" i="1"/>
  <c r="N112" i="1" s="1"/>
  <c r="O111" i="1"/>
  <c r="K126" i="1"/>
  <c r="L125" i="1"/>
  <c r="R112" i="1" l="1"/>
  <c r="O112" i="1"/>
  <c r="M113" i="1"/>
  <c r="N113" i="1" s="1"/>
  <c r="L126" i="1"/>
  <c r="K127" i="1"/>
  <c r="R113" i="1" l="1"/>
  <c r="O113" i="1"/>
  <c r="M114" i="1"/>
  <c r="N114" i="1" s="1"/>
  <c r="L127" i="1"/>
  <c r="K128" i="1"/>
  <c r="R114" i="1" l="1"/>
  <c r="M115" i="1"/>
  <c r="N115" i="1" s="1"/>
  <c r="O114" i="1"/>
  <c r="K129" i="1"/>
  <c r="L128" i="1"/>
  <c r="R115" i="1" l="1"/>
  <c r="M116" i="1"/>
  <c r="N116" i="1" s="1"/>
  <c r="O115" i="1"/>
  <c r="L129" i="1"/>
  <c r="K130" i="1"/>
  <c r="R116" i="1" l="1"/>
  <c r="O116" i="1"/>
  <c r="M117" i="1"/>
  <c r="N117" i="1" s="1"/>
  <c r="K131" i="1"/>
  <c r="L130" i="1"/>
  <c r="M118" i="1" l="1"/>
  <c r="N118" i="1" s="1"/>
  <c r="O117" i="1"/>
  <c r="L131" i="1"/>
  <c r="K132" i="1"/>
  <c r="O118" i="1" l="1"/>
  <c r="M119" i="1"/>
  <c r="N119" i="1" s="1"/>
  <c r="K133" i="1"/>
  <c r="L132" i="1"/>
  <c r="O119" i="1" l="1"/>
  <c r="M120" i="1"/>
  <c r="N120" i="1" s="1"/>
  <c r="K134" i="1"/>
  <c r="L133" i="1"/>
  <c r="O120" i="1" l="1"/>
  <c r="M121" i="1"/>
  <c r="N121" i="1" s="1"/>
  <c r="L134" i="1"/>
  <c r="K135" i="1"/>
  <c r="O121" i="1" l="1"/>
  <c r="M122" i="1"/>
  <c r="N122" i="1" s="1"/>
  <c r="L135" i="1"/>
  <c r="K136" i="1"/>
  <c r="O122" i="1" l="1"/>
  <c r="M123" i="1"/>
  <c r="N123" i="1" s="1"/>
  <c r="K137" i="1"/>
  <c r="L136" i="1"/>
  <c r="O123" i="1" l="1"/>
  <c r="M124" i="1"/>
  <c r="N124" i="1" s="1"/>
  <c r="L137" i="1"/>
  <c r="K138" i="1"/>
  <c r="O124" i="1" l="1"/>
  <c r="M125" i="1"/>
  <c r="N125" i="1" s="1"/>
  <c r="K139" i="1"/>
  <c r="L138" i="1"/>
  <c r="O125" i="1" l="1"/>
  <c r="M126" i="1"/>
  <c r="N126" i="1" s="1"/>
  <c r="K140" i="1"/>
  <c r="L139" i="1"/>
  <c r="M127" i="1" l="1"/>
  <c r="N127" i="1" s="1"/>
  <c r="O126" i="1"/>
  <c r="K141" i="1"/>
  <c r="L140" i="1"/>
  <c r="O127" i="1" l="1"/>
  <c r="M128" i="1"/>
  <c r="N128" i="1" s="1"/>
  <c r="L141" i="1"/>
  <c r="K142" i="1"/>
  <c r="M129" i="1" l="1"/>
  <c r="N129" i="1" s="1"/>
  <c r="O128" i="1"/>
  <c r="K143" i="1"/>
  <c r="L142" i="1"/>
  <c r="M130" i="1" l="1"/>
  <c r="N130" i="1" s="1"/>
  <c r="O129" i="1"/>
  <c r="L143" i="1"/>
  <c r="K144" i="1"/>
  <c r="O130" i="1" l="1"/>
  <c r="M131" i="1"/>
  <c r="N131" i="1" s="1"/>
  <c r="L144" i="1"/>
  <c r="K145" i="1"/>
  <c r="O131" i="1" l="1"/>
  <c r="M132" i="1"/>
  <c r="N132" i="1" s="1"/>
  <c r="L145" i="1"/>
  <c r="K146" i="1"/>
  <c r="O132" i="1" l="1"/>
  <c r="M133" i="1"/>
  <c r="N133" i="1" s="1"/>
  <c r="L146" i="1"/>
  <c r="K147" i="1"/>
  <c r="O133" i="1" l="1"/>
  <c r="M134" i="1"/>
  <c r="N134" i="1" s="1"/>
  <c r="L147" i="1"/>
  <c r="K148" i="1"/>
  <c r="O134" i="1" l="1"/>
  <c r="M135" i="1"/>
  <c r="N135" i="1" s="1"/>
  <c r="L148" i="1"/>
  <c r="K149" i="1"/>
  <c r="M136" i="1" l="1"/>
  <c r="N136" i="1" s="1"/>
  <c r="O135" i="1"/>
  <c r="L149" i="1"/>
  <c r="K150" i="1"/>
  <c r="O136" i="1" l="1"/>
  <c r="M137" i="1"/>
  <c r="N137" i="1" s="1"/>
  <c r="K151" i="1"/>
  <c r="L150" i="1"/>
  <c r="M138" i="1" l="1"/>
  <c r="N138" i="1" s="1"/>
  <c r="O137" i="1"/>
  <c r="L151" i="1"/>
  <c r="K152" i="1"/>
  <c r="M139" i="1" l="1"/>
  <c r="N139" i="1" s="1"/>
  <c r="O138" i="1"/>
  <c r="L152" i="1"/>
  <c r="K153" i="1"/>
  <c r="O139" i="1" l="1"/>
  <c r="M140" i="1"/>
  <c r="N140" i="1" s="1"/>
  <c r="L153" i="1"/>
  <c r="K154" i="1"/>
  <c r="M141" i="1" l="1"/>
  <c r="N141" i="1" s="1"/>
  <c r="O140" i="1"/>
  <c r="K155" i="1"/>
  <c r="L154" i="1"/>
  <c r="O141" i="1" l="1"/>
  <c r="M142" i="1"/>
  <c r="N142" i="1" s="1"/>
  <c r="K156" i="1"/>
  <c r="L155" i="1"/>
  <c r="M143" i="1" l="1"/>
  <c r="N143" i="1" s="1"/>
  <c r="O142" i="1"/>
  <c r="L156" i="1"/>
  <c r="K157" i="1"/>
  <c r="O143" i="1" l="1"/>
  <c r="M144" i="1"/>
  <c r="N144" i="1" s="1"/>
  <c r="K158" i="1"/>
  <c r="L157" i="1"/>
  <c r="O144" i="1" l="1"/>
  <c r="M145" i="1"/>
  <c r="N145" i="1" s="1"/>
  <c r="L158" i="1"/>
  <c r="K159" i="1"/>
  <c r="M146" i="1" l="1"/>
  <c r="N146" i="1" s="1"/>
  <c r="O145" i="1"/>
  <c r="L159" i="1"/>
  <c r="K160" i="1"/>
  <c r="M147" i="1" l="1"/>
  <c r="N147" i="1" s="1"/>
  <c r="O146" i="1"/>
  <c r="K161" i="1"/>
  <c r="L160" i="1"/>
  <c r="O147" i="1" l="1"/>
  <c r="M148" i="1"/>
  <c r="N148" i="1" s="1"/>
  <c r="L161" i="1"/>
  <c r="K162" i="1"/>
  <c r="M149" i="1" l="1"/>
  <c r="N149" i="1" s="1"/>
  <c r="O148" i="1"/>
  <c r="K163" i="1"/>
  <c r="L162" i="1"/>
  <c r="O149" i="1" l="1"/>
  <c r="M150" i="1"/>
  <c r="N150" i="1" s="1"/>
  <c r="L163" i="1"/>
  <c r="K164" i="1"/>
  <c r="O150" i="1" l="1"/>
  <c r="M151" i="1"/>
  <c r="N151" i="1" s="1"/>
  <c r="L164" i="1"/>
  <c r="K165" i="1"/>
  <c r="O151" i="1" l="1"/>
  <c r="M152" i="1"/>
  <c r="N152" i="1" s="1"/>
  <c r="L165" i="1"/>
  <c r="K166" i="1"/>
  <c r="O152" i="1" l="1"/>
  <c r="M153" i="1"/>
  <c r="N153" i="1" s="1"/>
  <c r="K167" i="1"/>
  <c r="L166" i="1"/>
  <c r="M154" i="1" l="1"/>
  <c r="N154" i="1" s="1"/>
  <c r="O153" i="1"/>
  <c r="L167" i="1"/>
  <c r="K168" i="1"/>
  <c r="M155" i="1" l="1"/>
  <c r="N155" i="1" s="1"/>
  <c r="O154" i="1"/>
  <c r="K169" i="1"/>
  <c r="L168" i="1"/>
  <c r="M156" i="1" l="1"/>
  <c r="N156" i="1" s="1"/>
  <c r="O155" i="1"/>
  <c r="L169" i="1"/>
  <c r="K170" i="1"/>
  <c r="O156" i="1" l="1"/>
  <c r="M157" i="1"/>
  <c r="N157" i="1" s="1"/>
  <c r="K171" i="1"/>
  <c r="L170" i="1"/>
  <c r="M158" i="1" l="1"/>
  <c r="N158" i="1" s="1"/>
  <c r="O157" i="1"/>
  <c r="L171" i="1"/>
  <c r="K172" i="1"/>
  <c r="O158" i="1" l="1"/>
  <c r="M159" i="1"/>
  <c r="N159" i="1" s="1"/>
  <c r="L172" i="1"/>
  <c r="K173" i="1"/>
  <c r="O159" i="1" l="1"/>
  <c r="M160" i="1"/>
  <c r="N160" i="1" s="1"/>
  <c r="L173" i="1"/>
  <c r="K174" i="1"/>
  <c r="M161" i="1" l="1"/>
  <c r="N161" i="1" s="1"/>
  <c r="O160" i="1"/>
  <c r="L174" i="1"/>
  <c r="K175" i="1"/>
  <c r="O161" i="1" l="1"/>
  <c r="M162" i="1"/>
  <c r="N162" i="1" s="1"/>
  <c r="L175" i="1"/>
  <c r="K176" i="1"/>
  <c r="O162" i="1" l="1"/>
  <c r="M163" i="1"/>
  <c r="N163" i="1" s="1"/>
  <c r="L176" i="1"/>
  <c r="K177" i="1"/>
  <c r="M164" i="1" l="1"/>
  <c r="N164" i="1" s="1"/>
  <c r="O163" i="1"/>
  <c r="L177" i="1"/>
  <c r="K178" i="1"/>
  <c r="M165" i="1" l="1"/>
  <c r="N165" i="1" s="1"/>
  <c r="O164" i="1"/>
  <c r="K179" i="1"/>
  <c r="L178" i="1"/>
  <c r="O165" i="1" l="1"/>
  <c r="M166" i="1"/>
  <c r="N166" i="1" s="1"/>
  <c r="K180" i="1"/>
  <c r="L179" i="1"/>
  <c r="O166" i="1" l="1"/>
  <c r="M167" i="1"/>
  <c r="N167" i="1" s="1"/>
  <c r="K181" i="1"/>
  <c r="L180" i="1"/>
  <c r="O167" i="1" l="1"/>
  <c r="M168" i="1"/>
  <c r="N168" i="1" s="1"/>
  <c r="L181" i="1"/>
  <c r="K182" i="1"/>
  <c r="M169" i="1" l="1"/>
  <c r="N169" i="1" s="1"/>
  <c r="O168" i="1"/>
  <c r="K183" i="1"/>
  <c r="L182" i="1"/>
  <c r="O169" i="1" l="1"/>
  <c r="M170" i="1"/>
  <c r="N170" i="1" s="1"/>
  <c r="L183" i="1"/>
  <c r="K184" i="1"/>
  <c r="O170" i="1" l="1"/>
  <c r="M171" i="1"/>
  <c r="N171" i="1" s="1"/>
  <c r="L184" i="1"/>
  <c r="K185" i="1"/>
  <c r="M172" i="1" l="1"/>
  <c r="N172" i="1" s="1"/>
  <c r="O171" i="1"/>
  <c r="K186" i="1"/>
  <c r="L185" i="1"/>
  <c r="O172" i="1" l="1"/>
  <c r="M173" i="1"/>
  <c r="N173" i="1" s="1"/>
  <c r="K187" i="1"/>
  <c r="L186" i="1"/>
  <c r="O173" i="1" l="1"/>
  <c r="M174" i="1"/>
  <c r="N174" i="1" s="1"/>
  <c r="L187" i="1"/>
  <c r="K188" i="1"/>
  <c r="M175" i="1" l="1"/>
  <c r="N175" i="1" s="1"/>
  <c r="O174" i="1"/>
  <c r="K189" i="1"/>
  <c r="L188" i="1"/>
  <c r="O175" i="1" l="1"/>
  <c r="M176" i="1"/>
  <c r="N176" i="1" s="1"/>
  <c r="K190" i="1"/>
  <c r="L189" i="1"/>
  <c r="M177" i="1" l="1"/>
  <c r="N177" i="1" s="1"/>
  <c r="O176" i="1"/>
  <c r="L190" i="1"/>
  <c r="K191" i="1"/>
  <c r="M178" i="1" l="1"/>
  <c r="N178" i="1" s="1"/>
  <c r="O177" i="1"/>
  <c r="L191" i="1"/>
  <c r="K192" i="1"/>
  <c r="M179" i="1" l="1"/>
  <c r="N179" i="1" s="1"/>
  <c r="O178" i="1"/>
  <c r="K193" i="1"/>
  <c r="L192" i="1"/>
  <c r="O179" i="1" l="1"/>
  <c r="M180" i="1"/>
  <c r="N180" i="1" s="1"/>
  <c r="L193" i="1"/>
  <c r="K194" i="1"/>
  <c r="O180" i="1" l="1"/>
  <c r="M181" i="1"/>
  <c r="N181" i="1" s="1"/>
  <c r="L194" i="1"/>
  <c r="K195" i="1"/>
  <c r="O181" i="1" l="1"/>
  <c r="M182" i="1"/>
  <c r="N182" i="1" s="1"/>
  <c r="L195" i="1"/>
  <c r="K196" i="1"/>
  <c r="O182" i="1" l="1"/>
  <c r="M183" i="1"/>
  <c r="N183" i="1" s="1"/>
  <c r="K197" i="1"/>
  <c r="L196" i="1"/>
  <c r="M184" i="1" l="1"/>
  <c r="N184" i="1" s="1"/>
  <c r="O183" i="1"/>
  <c r="K198" i="1"/>
  <c r="L197" i="1"/>
  <c r="O184" i="1" l="1"/>
  <c r="M185" i="1"/>
  <c r="N185" i="1" s="1"/>
  <c r="L198" i="1"/>
  <c r="K199" i="1"/>
  <c r="O185" i="1" l="1"/>
  <c r="M186" i="1"/>
  <c r="N186" i="1" s="1"/>
  <c r="K200" i="1"/>
  <c r="L199" i="1"/>
  <c r="O186" i="1" l="1"/>
  <c r="M187" i="1"/>
  <c r="N187" i="1" s="1"/>
  <c r="L200" i="1"/>
  <c r="K201" i="1"/>
  <c r="O187" i="1" l="1"/>
  <c r="M188" i="1"/>
  <c r="N188" i="1" s="1"/>
  <c r="L201" i="1"/>
  <c r="K202" i="1"/>
  <c r="M189" i="1" l="1"/>
  <c r="N189" i="1" s="1"/>
  <c r="O188" i="1"/>
  <c r="L202" i="1"/>
  <c r="K203" i="1"/>
  <c r="O189" i="1" l="1"/>
  <c r="M190" i="1"/>
  <c r="N190" i="1" s="1"/>
  <c r="L203" i="1"/>
  <c r="K204" i="1"/>
  <c r="M191" i="1" l="1"/>
  <c r="N191" i="1" s="1"/>
  <c r="O190" i="1"/>
  <c r="K205" i="1"/>
  <c r="L204" i="1"/>
  <c r="O191" i="1" l="1"/>
  <c r="M192" i="1"/>
  <c r="N192" i="1" s="1"/>
  <c r="K206" i="1"/>
  <c r="L205" i="1"/>
  <c r="M193" i="1" l="1"/>
  <c r="N193" i="1" s="1"/>
  <c r="O192" i="1"/>
  <c r="L206" i="1"/>
  <c r="K207" i="1"/>
  <c r="O193" i="1" l="1"/>
  <c r="M194" i="1"/>
  <c r="N194" i="1" s="1"/>
  <c r="K208" i="1"/>
  <c r="L207" i="1"/>
  <c r="M195" i="1" l="1"/>
  <c r="N195" i="1" s="1"/>
  <c r="O194" i="1"/>
  <c r="L208" i="1"/>
  <c r="K209" i="1"/>
  <c r="O195" i="1" l="1"/>
  <c r="M196" i="1"/>
  <c r="N196" i="1" s="1"/>
  <c r="K210" i="1"/>
  <c r="L209" i="1"/>
  <c r="O196" i="1" l="1"/>
  <c r="M197" i="1"/>
  <c r="N197" i="1" s="1"/>
  <c r="K211" i="1"/>
  <c r="L210" i="1"/>
  <c r="M198" i="1" l="1"/>
  <c r="N198" i="1" s="1"/>
  <c r="O197" i="1"/>
  <c r="L211" i="1"/>
  <c r="K212" i="1"/>
  <c r="L212" i="1" s="1"/>
  <c r="M199" i="1" l="1"/>
  <c r="N199" i="1" s="1"/>
  <c r="O198" i="1"/>
  <c r="M200" i="1" l="1"/>
  <c r="N200" i="1" s="1"/>
  <c r="O199" i="1"/>
  <c r="M201" i="1" l="1"/>
  <c r="N201" i="1" s="1"/>
  <c r="O200" i="1"/>
  <c r="M202" i="1" l="1"/>
  <c r="N202" i="1" s="1"/>
  <c r="O201" i="1"/>
  <c r="O202" i="1" l="1"/>
  <c r="M203" i="1"/>
  <c r="N203" i="1" s="1"/>
  <c r="M204" i="1" l="1"/>
  <c r="N204" i="1" s="1"/>
  <c r="O203" i="1"/>
  <c r="M205" i="1" l="1"/>
  <c r="N205" i="1" s="1"/>
  <c r="O204" i="1"/>
  <c r="M206" i="1" l="1"/>
  <c r="N206" i="1" s="1"/>
  <c r="O205" i="1"/>
  <c r="O206" i="1" l="1"/>
  <c r="M207" i="1"/>
  <c r="N207" i="1" s="1"/>
  <c r="M208" i="1" l="1"/>
  <c r="N208" i="1" s="1"/>
  <c r="O207" i="1"/>
  <c r="O208" i="1" l="1"/>
  <c r="M209" i="1"/>
  <c r="N209" i="1" s="1"/>
  <c r="O209" i="1" l="1"/>
  <c r="M210" i="1"/>
  <c r="N210" i="1" s="1"/>
  <c r="M211" i="1" l="1"/>
  <c r="N211" i="1" s="1"/>
  <c r="O210" i="1"/>
  <c r="M212" i="1" l="1"/>
  <c r="N212" i="1" s="1"/>
  <c r="O212" i="1" s="1"/>
  <c r="I17" i="1" s="1"/>
  <c r="O211" i="1"/>
  <c r="J17" i="1" l="1"/>
  <c r="AI18" i="4" s="1"/>
  <c r="AI33" i="4"/>
</calcChain>
</file>

<file path=xl/sharedStrings.xml><?xml version="1.0" encoding="utf-8"?>
<sst xmlns="http://schemas.openxmlformats.org/spreadsheetml/2006/main" count="83" uniqueCount="57">
  <si>
    <t>Reitrement Model (B)</t>
  </si>
  <si>
    <r>
      <t xml:space="preserve">In this model, we have </t>
    </r>
    <r>
      <rPr>
        <sz val="12"/>
        <color rgb="FFFF0000"/>
        <rFont val="Calibri (Body)_x0000_"/>
      </rPr>
      <t>THREE</t>
    </r>
    <r>
      <rPr>
        <sz val="12"/>
        <color theme="1"/>
        <rFont val="Calibri"/>
        <family val="2"/>
        <scheme val="minor"/>
      </rPr>
      <t xml:space="preserve"> decision variables:</t>
    </r>
  </si>
  <si>
    <t>Bob's contribution rate (like Model A), the % of his</t>
  </si>
  <si>
    <t>Parameters</t>
  </si>
  <si>
    <t>final salary that he needs to live on, and his age at retirement</t>
  </si>
  <si>
    <t>Current Income</t>
  </si>
  <si>
    <t>The "output" from the model is how old Bob will be when the</t>
  </si>
  <si>
    <t>Current Savings</t>
  </si>
  <si>
    <t>retirement funds finally run out. It doesn't assume anyone dies.</t>
  </si>
  <si>
    <t>Employer Saving Rate</t>
  </si>
  <si>
    <t>Age</t>
  </si>
  <si>
    <t>ROA pre-</t>
  </si>
  <si>
    <t>ROA post-</t>
  </si>
  <si>
    <t>Income Growth Rate</t>
  </si>
  <si>
    <t>Inflation Rate</t>
  </si>
  <si>
    <t>Tax Rate (post-)</t>
  </si>
  <si>
    <t>Decision</t>
  </si>
  <si>
    <t>Savings Rate</t>
  </si>
  <si>
    <t>% of final Income</t>
  </si>
  <si>
    <t>Age funds run out:</t>
  </si>
  <si>
    <t>Retirement Age</t>
  </si>
  <si>
    <t>Model</t>
  </si>
  <si>
    <t>Contribution</t>
  </si>
  <si>
    <t>Post-Retirement</t>
  </si>
  <si>
    <t>Funds Depleted?</t>
  </si>
  <si>
    <t>Income</t>
  </si>
  <si>
    <t>Employer</t>
  </si>
  <si>
    <t>Bob</t>
  </si>
  <si>
    <t>Assets Start</t>
  </si>
  <si>
    <t>Assets End</t>
  </si>
  <si>
    <t>Spending</t>
  </si>
  <si>
    <t>Withdrawl</t>
  </si>
  <si>
    <t>Asset Start</t>
  </si>
  <si>
    <t>Asset End</t>
  </si>
  <si>
    <t>1 = Yes</t>
  </si>
  <si>
    <t>4t5</t>
  </si>
  <si>
    <t>(</t>
  </si>
  <si>
    <t>|</t>
  </si>
  <si>
    <t>)</t>
  </si>
  <si>
    <t>Interest</t>
  </si>
  <si>
    <t>Assets Accumulated</t>
  </si>
  <si>
    <t>Employer_Contribution</t>
  </si>
  <si>
    <t>Bob_Contribution</t>
  </si>
  <si>
    <t>ASSET  START :</t>
  </si>
  <si>
    <t>----</t>
  </si>
  <si>
    <t>AGE FUNDS RUN OUT</t>
  </si>
  <si>
    <t>ASSET END</t>
  </si>
  <si>
    <t>Value</t>
  </si>
  <si>
    <t>Pointer</t>
  </si>
  <si>
    <t>End</t>
  </si>
  <si>
    <t>RETIREMENT  AGE</t>
  </si>
  <si>
    <t>SAVINGS  RATE</t>
  </si>
  <si>
    <t>% OF INCOME  SPENT</t>
  </si>
  <si>
    <t>Angle</t>
  </si>
  <si>
    <t>% of Income Spent</t>
  </si>
  <si>
    <t xml:space="preserve">% </t>
  </si>
  <si>
    <t>Values for Visualization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</si>
</sst>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2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 (Body)_x0000_"/>
    </font>
    <font>
      <b/>
      <sz val="12"/>
      <color rgb="FFC00000"/>
      <name val="Calibri"/>
      <family val="2"/>
      <scheme val="minor"/>
    </font>
    <font>
      <sz val="12"/>
      <color rgb="FFC00000"/>
      <name val="Calibri"/>
      <family val="2"/>
      <scheme val="minor"/>
    </font>
    <font>
      <sz val="12"/>
      <color rgb="FF0432FF"/>
      <name val="Calibri"/>
      <family val="2"/>
      <scheme val="minor"/>
    </font>
    <font>
      <b/>
      <sz val="12"/>
      <color rgb="FF0432FF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Times New Roman"/>
      <family val="1"/>
    </font>
    <font>
      <sz val="20"/>
      <color theme="1"/>
      <name val="Times New Roman"/>
      <family val="1"/>
    </font>
    <font>
      <b/>
      <sz val="24"/>
      <color theme="1"/>
      <name val="Times New Roman"/>
      <family val="1"/>
    </font>
    <font>
      <sz val="12"/>
      <color rgb="FF990099"/>
      <name val="Calibri"/>
      <family val="2"/>
      <scheme val="minor"/>
    </font>
    <font>
      <sz val="22"/>
      <color rgb="FF990099"/>
      <name val="Agency FB"/>
      <family val="2"/>
    </font>
    <font>
      <sz val="20"/>
      <color theme="0"/>
      <name val="Agency FB"/>
      <family val="2"/>
    </font>
    <font>
      <sz val="22"/>
      <color theme="0"/>
      <name val="Agency FB"/>
      <family val="2"/>
    </font>
    <font>
      <sz val="22"/>
      <color theme="1"/>
      <name val="Agency FB"/>
      <family val="2"/>
    </font>
    <font>
      <sz val="9"/>
      <color rgb="FF990099"/>
      <name val="Calibri"/>
      <family val="2"/>
      <scheme val="minor"/>
    </font>
    <font>
      <sz val="9"/>
      <color theme="0"/>
      <name val="Agency FB"/>
      <family val="2"/>
    </font>
    <font>
      <b/>
      <sz val="72"/>
      <color theme="1"/>
      <name val="Times New Roman"/>
      <family val="1"/>
    </font>
    <font>
      <sz val="12"/>
      <color theme="0" tint="-0.14999847407452621"/>
      <name val="Calibri"/>
      <family val="2"/>
      <scheme val="minor"/>
    </font>
    <font>
      <b/>
      <sz val="53"/>
      <color theme="0"/>
      <name val="Agency FB"/>
      <family val="2"/>
    </font>
    <font>
      <b/>
      <sz val="36"/>
      <color theme="0"/>
      <name val="Agency FB"/>
      <family val="2"/>
    </font>
    <font>
      <b/>
      <sz val="38"/>
      <color theme="0"/>
      <name val="Agency FB"/>
      <family val="2"/>
    </font>
    <font>
      <b/>
      <sz val="12"/>
      <color theme="1"/>
      <name val="Calibri"/>
      <family val="2"/>
      <scheme val="minor"/>
    </font>
    <font>
      <b/>
      <sz val="36"/>
      <color rgb="FF990099"/>
      <name val="Agency FB"/>
      <family val="2"/>
    </font>
    <font>
      <sz val="12"/>
      <name val="Calibri"/>
      <family val="2"/>
      <scheme val="minor"/>
    </font>
    <font>
      <sz val="12"/>
      <color theme="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990099"/>
      </left>
      <right/>
      <top style="thick">
        <color rgb="FF990099"/>
      </top>
      <bottom/>
      <diagonal/>
    </border>
    <border>
      <left/>
      <right/>
      <top style="thick">
        <color rgb="FF990099"/>
      </top>
      <bottom/>
      <diagonal/>
    </border>
    <border>
      <left/>
      <right style="thick">
        <color rgb="FF990099"/>
      </right>
      <top style="thick">
        <color rgb="FF990099"/>
      </top>
      <bottom/>
      <diagonal/>
    </border>
    <border>
      <left style="thick">
        <color rgb="FF990099"/>
      </left>
      <right/>
      <top/>
      <bottom style="thick">
        <color rgb="FF990099"/>
      </bottom>
      <diagonal/>
    </border>
    <border>
      <left/>
      <right/>
      <top/>
      <bottom style="thick">
        <color rgb="FF990099"/>
      </bottom>
      <diagonal/>
    </border>
    <border>
      <left/>
      <right style="thick">
        <color rgb="FF990099"/>
      </right>
      <top/>
      <bottom style="thick">
        <color rgb="FF990099"/>
      </bottom>
      <diagonal/>
    </border>
    <border>
      <left style="medium">
        <color rgb="FF990099"/>
      </left>
      <right style="medium">
        <color rgb="FF990099"/>
      </right>
      <top style="medium">
        <color rgb="FF990099"/>
      </top>
      <bottom style="medium">
        <color rgb="FF990099"/>
      </bottom>
      <diagonal/>
    </border>
    <border>
      <left style="medium">
        <color rgb="FF990099"/>
      </left>
      <right/>
      <top style="medium">
        <color rgb="FF990099"/>
      </top>
      <bottom style="medium">
        <color rgb="FF990099"/>
      </bottom>
      <diagonal/>
    </border>
    <border>
      <left/>
      <right style="medium">
        <color rgb="FF990099"/>
      </right>
      <top style="medium">
        <color rgb="FF990099"/>
      </top>
      <bottom style="medium">
        <color rgb="FF990099"/>
      </bottom>
      <diagonal/>
    </border>
    <border>
      <left style="medium">
        <color rgb="FF990099"/>
      </left>
      <right style="medium">
        <color rgb="FF990099"/>
      </right>
      <top style="medium">
        <color rgb="FF990099"/>
      </top>
      <bottom/>
      <diagonal/>
    </border>
    <border>
      <left style="medium">
        <color rgb="FF990099"/>
      </left>
      <right style="medium">
        <color rgb="FF990099"/>
      </right>
      <top/>
      <bottom/>
      <diagonal/>
    </border>
    <border>
      <left style="medium">
        <color rgb="FF990099"/>
      </left>
      <right style="medium">
        <color rgb="FF990099"/>
      </right>
      <top/>
      <bottom style="medium">
        <color rgb="FF990099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9" fillId="0" borderId="0">
      <alignment textRotation="180"/>
    </xf>
    <xf numFmtId="0" fontId="9" fillId="0" borderId="0">
      <alignment horizontal="left" textRotation="90" readingOrder="1"/>
    </xf>
  </cellStyleXfs>
  <cellXfs count="11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3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9" fontId="0" fillId="0" borderId="0" xfId="0" applyNumberFormat="1"/>
    <xf numFmtId="164" fontId="0" fillId="0" borderId="0" xfId="1" applyNumberFormat="1" applyFont="1"/>
    <xf numFmtId="9" fontId="0" fillId="0" borderId="0" xfId="1" applyFont="1"/>
    <xf numFmtId="164" fontId="0" fillId="2" borderId="9" xfId="1" applyNumberFormat="1" applyFont="1" applyFill="1" applyBorder="1"/>
    <xf numFmtId="9" fontId="0" fillId="2" borderId="9" xfId="1" applyFont="1" applyFill="1" applyBorder="1"/>
    <xf numFmtId="0" fontId="0" fillId="0" borderId="0" xfId="0" applyAlignment="1">
      <alignment horizontal="right"/>
    </xf>
    <xf numFmtId="0" fontId="3" fillId="0" borderId="10" xfId="0" applyFont="1" applyBorder="1"/>
    <xf numFmtId="0" fontId="0" fillId="2" borderId="9" xfId="0" applyFill="1" applyBorder="1"/>
    <xf numFmtId="0" fontId="4" fillId="0" borderId="0" xfId="0" applyFont="1"/>
    <xf numFmtId="3" fontId="4" fillId="0" borderId="0" xfId="0" applyNumberFormat="1" applyFont="1"/>
    <xf numFmtId="3" fontId="5" fillId="0" borderId="0" xfId="0" applyNumberFormat="1" applyFont="1"/>
    <xf numFmtId="0" fontId="6" fillId="0" borderId="0" xfId="0" applyFont="1" applyAlignment="1">
      <alignment horizontal="center"/>
    </xf>
    <xf numFmtId="0" fontId="5" fillId="0" borderId="0" xfId="0" applyFont="1"/>
    <xf numFmtId="10" fontId="0" fillId="0" borderId="0" xfId="0" applyNumberFormat="1"/>
    <xf numFmtId="0" fontId="0" fillId="3" borderId="0" xfId="0" applyFill="1"/>
    <xf numFmtId="0" fontId="4" fillId="3" borderId="0" xfId="0" applyFont="1" applyFill="1"/>
    <xf numFmtId="9" fontId="0" fillId="3" borderId="0" xfId="0" applyNumberFormat="1" applyFill="1"/>
    <xf numFmtId="10" fontId="0" fillId="3" borderId="0" xfId="0" applyNumberFormat="1" applyFill="1"/>
    <xf numFmtId="0" fontId="0" fillId="3" borderId="9" xfId="0" applyFill="1" applyBorder="1"/>
    <xf numFmtId="0" fontId="8" fillId="0" borderId="0" xfId="0" applyFont="1" applyAlignment="1">
      <alignment horizontal="center"/>
    </xf>
    <xf numFmtId="0" fontId="8" fillId="0" borderId="0" xfId="0" applyFont="1"/>
    <xf numFmtId="0" fontId="8" fillId="0" borderId="0" xfId="4" applyFont="1">
      <alignment horizontal="left" textRotation="90" readingOrder="1"/>
    </xf>
    <xf numFmtId="0" fontId="10" fillId="0" borderId="0" xfId="4" applyFont="1">
      <alignment horizontal="left" textRotation="90" readingOrder="1"/>
    </xf>
    <xf numFmtId="165" fontId="0" fillId="0" borderId="0" xfId="2" applyNumberFormat="1" applyFont="1"/>
    <xf numFmtId="0" fontId="5" fillId="3" borderId="0" xfId="0" applyFont="1" applyFill="1"/>
    <xf numFmtId="0" fontId="0" fillId="3" borderId="11" xfId="0" applyFill="1" applyBorder="1"/>
    <xf numFmtId="0" fontId="0" fillId="3" borderId="0" xfId="0" applyFill="1" applyBorder="1"/>
    <xf numFmtId="3" fontId="0" fillId="3" borderId="0" xfId="0" applyNumberFormat="1" applyFill="1" applyBorder="1"/>
    <xf numFmtId="9" fontId="0" fillId="3" borderId="0" xfId="0" applyNumberFormat="1" applyFill="1" applyBorder="1"/>
    <xf numFmtId="164" fontId="0" fillId="3" borderId="0" xfId="1" applyNumberFormat="1" applyFont="1" applyFill="1" applyBorder="1"/>
    <xf numFmtId="9" fontId="0" fillId="3" borderId="0" xfId="1" applyFont="1" applyFill="1" applyBorder="1"/>
    <xf numFmtId="0" fontId="0" fillId="3" borderId="0" xfId="0" applyFill="1" applyBorder="1" applyAlignment="1">
      <alignment horizontal="right"/>
    </xf>
    <xf numFmtId="0" fontId="3" fillId="3" borderId="0" xfId="0" applyFont="1" applyFill="1" applyBorder="1"/>
    <xf numFmtId="3" fontId="7" fillId="3" borderId="0" xfId="0" applyNumberFormat="1" applyFont="1" applyFill="1" applyBorder="1"/>
    <xf numFmtId="0" fontId="7" fillId="3" borderId="0" xfId="0" applyFont="1" applyFill="1" applyBorder="1"/>
    <xf numFmtId="3" fontId="4" fillId="3" borderId="0" xfId="0" applyNumberFormat="1" applyFont="1" applyFill="1"/>
    <xf numFmtId="3" fontId="5" fillId="3" borderId="0" xfId="0" applyNumberFormat="1" applyFont="1" applyFill="1"/>
    <xf numFmtId="0" fontId="6" fillId="3" borderId="0" xfId="0" applyFont="1" applyFill="1" applyAlignment="1">
      <alignment horizontal="center"/>
    </xf>
    <xf numFmtId="165" fontId="8" fillId="0" borderId="0" xfId="0" applyNumberFormat="1" applyFont="1"/>
    <xf numFmtId="10" fontId="0" fillId="0" borderId="0" xfId="1" applyNumberFormat="1" applyFont="1"/>
    <xf numFmtId="165" fontId="0" fillId="0" borderId="0" xfId="0" applyNumberFormat="1"/>
    <xf numFmtId="165" fontId="0" fillId="0" borderId="0" xfId="2" applyNumberFormat="1" applyFont="1" applyAlignment="1">
      <alignment horizontal="left" vertical="center"/>
    </xf>
    <xf numFmtId="0" fontId="7" fillId="3" borderId="0" xfId="0" applyFont="1" applyFill="1"/>
    <xf numFmtId="0" fontId="15" fillId="3" borderId="0" xfId="0" applyFont="1" applyFill="1"/>
    <xf numFmtId="0" fontId="14" fillId="3" borderId="0" xfId="0" applyFont="1" applyFill="1"/>
    <xf numFmtId="0" fontId="14" fillId="3" borderId="18" xfId="0" applyFont="1" applyFill="1" applyBorder="1"/>
    <xf numFmtId="0" fontId="16" fillId="3" borderId="0" xfId="0" applyFont="1" applyFill="1"/>
    <xf numFmtId="0" fontId="17" fillId="3" borderId="0" xfId="0" applyFont="1" applyFill="1"/>
    <xf numFmtId="49" fontId="14" fillId="3" borderId="0" xfId="0" applyNumberFormat="1" applyFont="1" applyFill="1" applyAlignment="1">
      <alignment horizontal="center"/>
    </xf>
    <xf numFmtId="165" fontId="14" fillId="3" borderId="18" xfId="2" applyNumberFormat="1" applyFont="1" applyFill="1" applyBorder="1"/>
    <xf numFmtId="0" fontId="19" fillId="0" borderId="0" xfId="0" applyFont="1"/>
    <xf numFmtId="165" fontId="19" fillId="0" borderId="0" xfId="0" applyNumberFormat="1" applyFont="1"/>
    <xf numFmtId="165" fontId="19" fillId="0" borderId="0" xfId="2" applyNumberFormat="1" applyFont="1"/>
    <xf numFmtId="0" fontId="13" fillId="3" borderId="18" xfId="0" applyFont="1" applyFill="1" applyBorder="1" applyAlignment="1">
      <alignment horizontal="center" vertical="center"/>
    </xf>
    <xf numFmtId="0" fontId="5" fillId="0" borderId="0" xfId="0" applyNumberFormat="1" applyFont="1"/>
    <xf numFmtId="0" fontId="0" fillId="0" borderId="0" xfId="0" applyNumberFormat="1"/>
    <xf numFmtId="0" fontId="0" fillId="0" borderId="0" xfId="0" applyAlignment="1">
      <alignment horizontal="center"/>
    </xf>
    <xf numFmtId="0" fontId="11" fillId="3" borderId="0" xfId="0" applyFont="1" applyFill="1" applyAlignment="1"/>
    <xf numFmtId="0" fontId="20" fillId="3" borderId="0" xfId="0" applyFont="1" applyFill="1" applyAlignment="1">
      <alignment vertical="center"/>
    </xf>
    <xf numFmtId="0" fontId="22" fillId="3" borderId="0" xfId="0" applyFont="1" applyFill="1" applyAlignment="1">
      <alignment horizontal="center" vertical="center"/>
    </xf>
    <xf numFmtId="0" fontId="21" fillId="3" borderId="0" xfId="0" applyNumberFormat="1" applyFont="1" applyFill="1" applyAlignment="1">
      <alignment horizontal="center"/>
    </xf>
    <xf numFmtId="0" fontId="0" fillId="3" borderId="0" xfId="0" applyFill="1" applyAlignment="1"/>
    <xf numFmtId="0" fontId="0" fillId="3" borderId="24" xfId="0" applyFill="1" applyBorder="1"/>
    <xf numFmtId="0" fontId="0" fillId="3" borderId="25" xfId="0" applyFill="1" applyBorder="1"/>
    <xf numFmtId="0" fontId="4" fillId="3" borderId="0" xfId="0" applyFont="1" applyFill="1" applyBorder="1"/>
    <xf numFmtId="10" fontId="5" fillId="3" borderId="0" xfId="0" applyNumberFormat="1" applyFont="1" applyFill="1" applyBorder="1"/>
    <xf numFmtId="10" fontId="0" fillId="3" borderId="0" xfId="0" applyNumberFormat="1" applyFill="1" applyBorder="1"/>
    <xf numFmtId="0" fontId="25" fillId="3" borderId="0" xfId="0" applyFont="1" applyFill="1"/>
    <xf numFmtId="0" fontId="25" fillId="3" borderId="10" xfId="0" applyFont="1" applyFill="1" applyBorder="1"/>
    <xf numFmtId="0" fontId="21" fillId="3" borderId="0" xfId="1" applyNumberFormat="1" applyFont="1" applyFill="1" applyAlignment="1">
      <alignment horizontal="left"/>
    </xf>
    <xf numFmtId="0" fontId="23" fillId="0" borderId="1" xfId="0" applyFont="1" applyBorder="1"/>
    <xf numFmtId="0" fontId="0" fillId="0" borderId="9" xfId="0" applyBorder="1"/>
    <xf numFmtId="0" fontId="23" fillId="0" borderId="3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9" fontId="0" fillId="0" borderId="3" xfId="1" applyFont="1" applyBorder="1"/>
    <xf numFmtId="0" fontId="0" fillId="0" borderId="1" xfId="0" applyNumberFormat="1" applyBorder="1"/>
    <xf numFmtId="0" fontId="0" fillId="0" borderId="4" xfId="1" applyNumberFormat="1" applyFont="1" applyBorder="1"/>
    <xf numFmtId="0" fontId="0" fillId="0" borderId="6" xfId="1" applyNumberFormat="1" applyFont="1" applyBorder="1"/>
    <xf numFmtId="0" fontId="0" fillId="0" borderId="28" xfId="0" applyBorder="1"/>
    <xf numFmtId="0" fontId="23" fillId="0" borderId="26" xfId="0" applyFont="1" applyFill="1" applyBorder="1" applyAlignment="1">
      <alignment horizontal="center"/>
    </xf>
    <xf numFmtId="0" fontId="23" fillId="0" borderId="27" xfId="0" applyFont="1" applyFill="1" applyBorder="1" applyAlignment="1">
      <alignment horizontal="center"/>
    </xf>
    <xf numFmtId="0" fontId="23" fillId="0" borderId="1" xfId="0" applyFont="1" applyFill="1" applyBorder="1" applyAlignment="1">
      <alignment horizontal="center"/>
    </xf>
    <xf numFmtId="0" fontId="0" fillId="0" borderId="4" xfId="0" applyNumberFormat="1" applyBorder="1"/>
    <xf numFmtId="0" fontId="0" fillId="0" borderId="0" xfId="0" applyAlignment="1">
      <alignment horizontal="left"/>
    </xf>
    <xf numFmtId="0" fontId="7" fillId="0" borderId="0" xfId="0" applyFont="1"/>
    <xf numFmtId="0" fontId="26" fillId="0" borderId="0" xfId="0" applyFont="1"/>
    <xf numFmtId="9" fontId="0" fillId="0" borderId="0" xfId="0" applyNumberFormat="1" applyAlignment="1">
      <alignment horizontal="center"/>
    </xf>
    <xf numFmtId="0" fontId="0" fillId="0" borderId="0" xfId="0" applyAlignment="1"/>
    <xf numFmtId="0" fontId="23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24" fillId="3" borderId="0" xfId="0" applyFont="1" applyFill="1" applyAlignment="1">
      <alignment horizontal="center"/>
    </xf>
    <xf numFmtId="0" fontId="18" fillId="3" borderId="21" xfId="4" applyFont="1" applyFill="1" applyBorder="1" applyAlignment="1">
      <alignment horizontal="left" textRotation="90" readingOrder="1"/>
    </xf>
    <xf numFmtId="0" fontId="18" fillId="3" borderId="22" xfId="4" applyFont="1" applyFill="1" applyBorder="1" applyAlignment="1">
      <alignment horizontal="left" textRotation="90" readingOrder="1"/>
    </xf>
    <xf numFmtId="0" fontId="18" fillId="3" borderId="23" xfId="4" applyFont="1" applyFill="1" applyBorder="1" applyAlignment="1">
      <alignment horizontal="left" textRotation="90" readingOrder="1"/>
    </xf>
    <xf numFmtId="0" fontId="12" fillId="3" borderId="12" xfId="0" applyFont="1" applyFill="1" applyBorder="1" applyAlignment="1">
      <alignment horizontal="center" vertical="center"/>
    </xf>
    <xf numFmtId="0" fontId="12" fillId="3" borderId="13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165" fontId="13" fillId="3" borderId="13" xfId="2" applyNumberFormat="1" applyFont="1" applyFill="1" applyBorder="1" applyAlignment="1">
      <alignment horizontal="center" vertical="center"/>
    </xf>
    <xf numFmtId="165" fontId="13" fillId="3" borderId="14" xfId="2" applyNumberFormat="1" applyFont="1" applyFill="1" applyBorder="1" applyAlignment="1">
      <alignment horizontal="center" vertical="center"/>
    </xf>
    <xf numFmtId="165" fontId="13" fillId="3" borderId="16" xfId="2" applyNumberFormat="1" applyFont="1" applyFill="1" applyBorder="1" applyAlignment="1">
      <alignment horizontal="center" vertical="center"/>
    </xf>
    <xf numFmtId="165" fontId="13" fillId="3" borderId="17" xfId="2" applyNumberFormat="1" applyFont="1" applyFill="1" applyBorder="1" applyAlignment="1">
      <alignment horizontal="center" vertical="center"/>
    </xf>
    <xf numFmtId="0" fontId="12" fillId="3" borderId="19" xfId="0" applyFont="1" applyFill="1" applyBorder="1" applyAlignment="1">
      <alignment horizontal="left"/>
    </xf>
    <xf numFmtId="0" fontId="12" fillId="3" borderId="20" xfId="0" applyFont="1" applyFill="1" applyBorder="1" applyAlignment="1">
      <alignment horizontal="left"/>
    </xf>
  </cellXfs>
  <cellStyles count="5">
    <cellStyle name="Comma" xfId="2" builtinId="3"/>
    <cellStyle name="Normal" xfId="0" builtinId="0"/>
    <cellStyle name="Percent" xfId="1" builtinId="5"/>
    <cellStyle name="Style 1" xfId="3" xr:uid="{610B4210-2CDD-42DC-9516-43C5DDF0562D}"/>
    <cellStyle name="Style 2" xfId="4" xr:uid="{A32ED417-FCFF-4269-9C2C-702E3DB97FF2}"/>
  </cellStyles>
  <dxfs count="15"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749961851863155"/>
        </patternFill>
      </fill>
    </dxf>
    <dxf>
      <fill>
        <patternFill>
          <bgColor theme="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749961851863155"/>
        </patternFill>
      </fill>
    </dxf>
    <dxf>
      <fill>
        <patternFill>
          <bgColor theme="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749961851863155"/>
        </patternFill>
      </fill>
    </dxf>
    <dxf>
      <fill>
        <patternFill>
          <bgColor theme="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749961851863155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990099"/>
      <color rgb="FFA355BB"/>
      <color rgb="FFE2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 w="952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990099"/>
              </a:solidFill>
              <a:ln w="952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3C56-4CBB-B37E-05303AE1D6FB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952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C56-4CBB-B37E-05303AE1D6FB}"/>
              </c:ext>
            </c:extLst>
          </c:dPt>
          <c:dLbls>
            <c:dLbl>
              <c:idx val="0"/>
              <c:layout>
                <c:manualLayout>
                  <c:x val="-3.1719986330175864E-2"/>
                  <c:y val="-3.025267582103760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56-4CBB-B37E-05303AE1D6F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56-4CBB-B37E-05303AE1D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Calculations_MonitorArea!$Q$17:$Q$18</c:f>
              <c:numCache>
                <c:formatCode>0.00%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3C56-4CBB-B37E-05303AE1D6FB}"/>
            </c:ext>
          </c:extLst>
        </c:ser>
        <c:ser>
          <c:idx val="1"/>
          <c:order val="1"/>
          <c:spPr>
            <a:solidFill>
              <a:schemeClr val="bg1"/>
            </a:solidFill>
            <a:ln w="6350">
              <a:solidFill>
                <a:schemeClr val="bg2"/>
              </a:solidFill>
            </a:ln>
          </c:spPr>
          <c:dPt>
            <c:idx val="0"/>
            <c:bubble3D val="0"/>
            <c:spPr>
              <a:solidFill>
                <a:srgbClr val="990099"/>
              </a:solidFill>
              <a:ln w="6350">
                <a:solidFill>
                  <a:schemeClr val="bg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C56-4CBB-B37E-05303AE1D6FB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6350">
                <a:solidFill>
                  <a:schemeClr val="bg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3C56-4CBB-B37E-05303AE1D6FB}"/>
              </c:ext>
            </c:extLst>
          </c:dPt>
          <c:dLbls>
            <c:dLbl>
              <c:idx val="0"/>
              <c:layout>
                <c:manualLayout>
                  <c:x val="-3.7188949490551008E-2"/>
                  <c:y val="4.950495049504920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56-4CBB-B37E-05303AE1D6F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56-4CBB-B37E-05303AE1D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Calculations_MonitorArea!$R$17:$R$18</c:f>
              <c:numCache>
                <c:formatCode>0.00%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3C56-4CBB-B37E-05303AE1D6FB}"/>
            </c:ext>
          </c:extLst>
        </c:ser>
        <c:ser>
          <c:idx val="2"/>
          <c:order val="2"/>
          <c:spPr>
            <a:solidFill>
              <a:schemeClr val="bg1"/>
            </a:solidFill>
            <a:ln w="6350">
              <a:solidFill>
                <a:schemeClr val="bg2"/>
              </a:solidFill>
            </a:ln>
          </c:spPr>
          <c:dPt>
            <c:idx val="0"/>
            <c:bubble3D val="0"/>
            <c:spPr>
              <a:solidFill>
                <a:srgbClr val="990099"/>
              </a:solidFill>
              <a:ln w="6350">
                <a:solidFill>
                  <a:schemeClr val="bg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C56-4CBB-B37E-05303AE1D6FB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6350">
                <a:solidFill>
                  <a:schemeClr val="bg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3C56-4CBB-B37E-05303AE1D6FB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56-4CBB-B37E-05303AE1D6FB}"/>
                </c:ext>
              </c:extLst>
            </c:dLbl>
            <c:dLbl>
              <c:idx val="1"/>
              <c:layout>
                <c:manualLayout>
                  <c:x val="2.1785976590716575E-2"/>
                  <c:y val="-9.956781803342751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56-4CBB-B37E-05303AE1D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Calculations_MonitorArea!$S$17:$S$18</c:f>
              <c:numCache>
                <c:formatCode>0.00%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3C56-4CBB-B37E-05303AE1D6FB}"/>
            </c:ext>
          </c:extLst>
        </c:ser>
        <c:ser>
          <c:idx val="3"/>
          <c:order val="3"/>
          <c:spPr>
            <a:solidFill>
              <a:schemeClr val="bg1"/>
            </a:solidFill>
            <a:ln w="9525">
              <a:solidFill>
                <a:schemeClr val="bg2"/>
              </a:solidFill>
            </a:ln>
          </c:spPr>
          <c:dPt>
            <c:idx val="0"/>
            <c:bubble3D val="0"/>
            <c:spPr>
              <a:solidFill>
                <a:srgbClr val="990099"/>
              </a:solidFill>
              <a:ln w="9525">
                <a:solidFill>
                  <a:schemeClr val="bg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C56-4CBB-B37E-05303AE1D6FB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9525">
                <a:solidFill>
                  <a:schemeClr val="bg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3C56-4CBB-B37E-05303AE1D6FB}"/>
              </c:ext>
            </c:extLst>
          </c:dPt>
          <c:dLbls>
            <c:dLbl>
              <c:idx val="0"/>
              <c:layout>
                <c:manualLayout>
                  <c:x val="-8.5315825301852402E-2"/>
                  <c:y val="-4.950495049504950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56-4CBB-B37E-05303AE1D6F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56-4CBB-B37E-05303AE1D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Calculations_MonitorArea!$T$17:$T$18</c:f>
              <c:numCache>
                <c:formatCode>0.00%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3C56-4CBB-B37E-05303AE1D6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33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80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Asset Depletion</a:t>
            </a:r>
            <a:r>
              <a:rPr lang="en-US" baseline="0"/>
              <a:t> Post-Retirement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Calculations_MonitorArea!$Q$22:$Q$65</c:f>
              <c:numCache>
                <c:formatCode>General</c:formatCode>
                <c:ptCount val="44"/>
                <c:pt idx="0">
                  <c:v>67</c:v>
                </c:pt>
                <c:pt idx="1">
                  <c:v>68</c:v>
                </c:pt>
                <c:pt idx="2">
                  <c:v>69</c:v>
                </c:pt>
                <c:pt idx="3">
                  <c:v>70</c:v>
                </c:pt>
                <c:pt idx="4">
                  <c:v>71</c:v>
                </c:pt>
                <c:pt idx="5">
                  <c:v>72</c:v>
                </c:pt>
                <c:pt idx="6">
                  <c:v>73</c:v>
                </c:pt>
                <c:pt idx="7">
                  <c:v>74</c:v>
                </c:pt>
                <c:pt idx="8">
                  <c:v>75</c:v>
                </c:pt>
                <c:pt idx="9">
                  <c:v>76</c:v>
                </c:pt>
                <c:pt idx="10">
                  <c:v>77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81</c:v>
                </c:pt>
                <c:pt idx="15">
                  <c:v>82</c:v>
                </c:pt>
                <c:pt idx="16">
                  <c:v>83</c:v>
                </c:pt>
                <c:pt idx="17">
                  <c:v>84</c:v>
                </c:pt>
                <c:pt idx="18">
                  <c:v>85</c:v>
                </c:pt>
                <c:pt idx="19">
                  <c:v>86</c:v>
                </c:pt>
                <c:pt idx="20">
                  <c:v>87</c:v>
                </c:pt>
                <c:pt idx="21">
                  <c:v>88</c:v>
                </c:pt>
                <c:pt idx="22">
                  <c:v>89</c:v>
                </c:pt>
                <c:pt idx="23">
                  <c:v>90</c:v>
                </c:pt>
                <c:pt idx="24">
                  <c:v>91</c:v>
                </c:pt>
                <c:pt idx="25">
                  <c:v>92</c:v>
                </c:pt>
                <c:pt idx="26">
                  <c:v>93</c:v>
                </c:pt>
                <c:pt idx="27">
                  <c:v>94</c:v>
                </c:pt>
                <c:pt idx="28">
                  <c:v>95</c:v>
                </c:pt>
                <c:pt idx="29">
                  <c:v>96</c:v>
                </c:pt>
                <c:pt idx="30">
                  <c:v>97</c:v>
                </c:pt>
                <c:pt idx="31">
                  <c:v>98</c:v>
                </c:pt>
                <c:pt idx="32">
                  <c:v>99</c:v>
                </c:pt>
                <c:pt idx="33">
                  <c:v>100</c:v>
                </c:pt>
                <c:pt idx="34">
                  <c:v>101</c:v>
                </c:pt>
                <c:pt idx="35">
                  <c:v>102</c:v>
                </c:pt>
                <c:pt idx="36">
                  <c:v>103</c:v>
                </c:pt>
                <c:pt idx="37">
                  <c:v>104</c:v>
                </c:pt>
                <c:pt idx="38">
                  <c:v>105</c:v>
                </c:pt>
                <c:pt idx="39">
                  <c:v>106</c:v>
                </c:pt>
                <c:pt idx="40">
                  <c:v>107</c:v>
                </c:pt>
                <c:pt idx="41">
                  <c:v>108</c:v>
                </c:pt>
                <c:pt idx="42">
                  <c:v>109</c:v>
                </c:pt>
                <c:pt idx="43">
                  <c:v>110</c:v>
                </c:pt>
              </c:numCache>
            </c:numRef>
          </c:cat>
          <c:val>
            <c:numRef>
              <c:f>Calculations_MonitorArea!$R$22:$R$65</c:f>
              <c:numCache>
                <c:formatCode>_(* #,##0_);_(* \(#,##0\);_(* "-"??_);_(@_)</c:formatCode>
                <c:ptCount val="44"/>
                <c:pt idx="0">
                  <c:v>2349441.9531184561</c:v>
                </c:pt>
                <c:pt idx="1">
                  <c:v>2176549.9176566191</c:v>
                </c:pt>
                <c:pt idx="2">
                  <c:v>1989205.997759335</c:v>
                </c:pt>
                <c:pt idx="3">
                  <c:v>1786571.4535515844</c:v>
                </c:pt>
                <c:pt idx="4">
                  <c:v>1567763.2852515317</c:v>
                </c:pt>
                <c:pt idx="5">
                  <c:v>1331851.973716924</c:v>
                </c:pt>
                <c:pt idx="6">
                  <c:v>1077859.107089642</c:v>
                </c:pt>
                <c:pt idx="7">
                  <c:v>804754.88782473328</c:v>
                </c:pt>
                <c:pt idx="8">
                  <c:v>511455.51410419133</c:v>
                </c:pt>
                <c:pt idx="9">
                  <c:v>196820.42933538673</c:v>
                </c:pt>
                <c:pt idx="10">
                  <c:v>-140350.56688133843</c:v>
                </c:pt>
                <c:pt idx="11">
                  <c:v>-501320.35326256976</c:v>
                </c:pt>
                <c:pt idx="12">
                  <c:v>-887417.67412360595</c:v>
                </c:pt>
                <c:pt idx="13">
                  <c:v>-1300040.4870916521</c:v>
                </c:pt>
                <c:pt idx="14">
                  <c:v>-1740659.479293338</c:v>
                </c:pt>
                <c:pt idx="15">
                  <c:v>-2210821.7604620503</c:v>
                </c:pt>
                <c:pt idx="16">
                  <c:v>-2712154.7418332794</c:v>
                </c:pt>
                <c:pt idx="17">
                  <c:v>-3246370.2101400322</c:v>
                </c:pt>
                <c:pt idx="18">
                  <c:v>-3815268.6064864243</c:v>
                </c:pt>
                <c:pt idx="19">
                  <c:v>-4420743.5203669239</c:v>
                </c:pt>
                <c:pt idx="20">
                  <c:v>-5064786.4096125718</c:v>
                </c:pt>
                <c:pt idx="21">
                  <c:v>-5749491.5575850485</c:v>
                </c:pt>
                <c:pt idx="22">
                  <c:v>-6477061.2795059858</c:v>
                </c:pt>
                <c:pt idx="23">
                  <c:v>-7249811.3904038044</c:v>
                </c:pt>
                <c:pt idx="24">
                  <c:v>-8070176.947784964</c:v>
                </c:pt>
                <c:pt idx="25">
                  <c:v>-8940718.2827924006</c:v>
                </c:pt>
                <c:pt idx="26">
                  <c:v>-9864127.3343025744</c:v>
                </c:pt>
                <c:pt idx="27">
                  <c:v>-10843234.301135667</c:v>
                </c:pt>
                <c:pt idx="28">
                  <c:v>-11881014.628312774</c:v>
                </c:pt>
                <c:pt idx="29">
                  <c:v>-12980596.344091142</c:v>
                </c:pt>
                <c:pt idx="30">
                  <c:v>-14145267.765345681</c:v>
                </c:pt>
                <c:pt idx="31">
                  <c:v>-15378485.589743949</c:v>
                </c:pt>
                <c:pt idx="32">
                  <c:v>-16683883.39408475</c:v>
                </c:pt>
                <c:pt idx="33">
                  <c:v>-18065280.559139661</c:v>
                </c:pt>
                <c:pt idx="34">
                  <c:v>-19526691.642354336</c:v>
                </c:pt>
                <c:pt idx="35">
                  <c:v>-21072336.220834896</c:v>
                </c:pt>
                <c:pt idx="36">
                  <c:v>-22706649.22816674</c:v>
                </c:pt>
                <c:pt idx="37">
                  <c:v>-24434291.80979098</c:v>
                </c:pt>
                <c:pt idx="38">
                  <c:v>-26260162.722900752</c:v>
                </c:pt>
                <c:pt idx="39">
                  <c:v>-28189410.308118414</c:v>
                </c:pt>
                <c:pt idx="40">
                  <c:v>-30227445.061578412</c:v>
                </c:pt>
                <c:pt idx="41">
                  <c:v>-32379952.837472491</c:v>
                </c:pt>
                <c:pt idx="42">
                  <c:v>-34652908.712617576</c:v>
                </c:pt>
                <c:pt idx="43">
                  <c:v>-37052591.546185344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A0-4D7A-9AC4-C386873F2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660559"/>
        <c:axId val="608661807"/>
      </c:lineChart>
      <c:catAx>
        <c:axId val="608660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61807"/>
        <c:crosses val="autoZero"/>
        <c:auto val="1"/>
        <c:lblAlgn val="ctr"/>
        <c:lblOffset val="100"/>
        <c:noMultiLvlLbl val="0"/>
      </c:catAx>
      <c:valAx>
        <c:axId val="608661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60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Retirement 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noFill/>
            </a:ln>
            <a:scene3d>
              <a:camera prst="orthographicFront"/>
              <a:lightRig rig="threePt" dir="t"/>
            </a:scene3d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9E9-4240-82C9-89FAD6695B77}"/>
              </c:ext>
            </c:extLst>
          </c:dPt>
          <c:dPt>
            <c:idx val="1"/>
            <c:bubble3D val="0"/>
            <c:spPr>
              <a:solidFill>
                <a:srgbClr val="990099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3-79E9-4240-82C9-89FAD6695B77}"/>
              </c:ext>
            </c:extLst>
          </c:dPt>
          <c:dPt>
            <c:idx val="2"/>
            <c:bubble3D val="0"/>
            <c:explosion val="1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9E9-4240-82C9-89FAD6695B77}"/>
              </c:ext>
            </c:extLst>
          </c:dPt>
          <c:cat>
            <c:strRef>
              <c:f>Calculations_KeyboardArea!$C$5:$C$7</c:f>
              <c:strCache>
                <c:ptCount val="3"/>
                <c:pt idx="0">
                  <c:v>Value</c:v>
                </c:pt>
                <c:pt idx="1">
                  <c:v>Pointer</c:v>
                </c:pt>
                <c:pt idx="2">
                  <c:v>End</c:v>
                </c:pt>
              </c:strCache>
            </c:strRef>
          </c:cat>
          <c:val>
            <c:numRef>
              <c:f>Calculations_KeyboardArea!$D$5:$D$7</c:f>
              <c:numCache>
                <c:formatCode>General</c:formatCode>
                <c:ptCount val="3"/>
                <c:pt idx="0">
                  <c:v>85.000000000000028</c:v>
                </c:pt>
                <c:pt idx="1">
                  <c:v>3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E9-4240-82C9-89FAD6695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Savings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477183132686181"/>
          <c:y val="0.20531723085333414"/>
          <c:w val="0.46326320326924447"/>
          <c:h val="0.7407795843597575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E39-4384-A9DF-E258AA7CDBB7}"/>
              </c:ext>
            </c:extLst>
          </c:dPt>
          <c:dPt>
            <c:idx val="1"/>
            <c:bubble3D val="0"/>
            <c:spPr>
              <a:solidFill>
                <a:srgbClr val="99009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E39-4384-A9DF-E258AA7CDBB7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E39-4384-A9DF-E258AA7CDBB7}"/>
              </c:ext>
            </c:extLst>
          </c:dPt>
          <c:cat>
            <c:strRef>
              <c:f>Calculations_KeyboardArea!$M$7:$M$9</c:f>
              <c:strCache>
                <c:ptCount val="3"/>
                <c:pt idx="0">
                  <c:v>Value</c:v>
                </c:pt>
                <c:pt idx="1">
                  <c:v>Pointer</c:v>
                </c:pt>
                <c:pt idx="2">
                  <c:v>End</c:v>
                </c:pt>
              </c:strCache>
            </c:strRef>
          </c:cat>
          <c:val>
            <c:numRef>
              <c:f>Calculations_KeyboardArea!$N$7:$N$9</c:f>
              <c:numCache>
                <c:formatCode>General</c:formatCode>
                <c:ptCount val="3"/>
                <c:pt idx="0">
                  <c:v>181</c:v>
                </c:pt>
                <c:pt idx="1">
                  <c:v>3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E39-4384-A9DF-E258AA7CD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Final Income Spent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D4-452E-9CE3-A41FE05C45F4}"/>
              </c:ext>
            </c:extLst>
          </c:dPt>
          <c:dPt>
            <c:idx val="1"/>
            <c:bubble3D val="0"/>
            <c:spPr>
              <a:solidFill>
                <a:srgbClr val="990099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D4-452E-9CE3-A41FE05C45F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CD4-452E-9CE3-A41FE05C45F4}"/>
              </c:ext>
            </c:extLst>
          </c:dPt>
          <c:cat>
            <c:strRef>
              <c:f>Calculations_KeyboardArea!$P$7:$P$9</c:f>
              <c:strCache>
                <c:ptCount val="3"/>
                <c:pt idx="0">
                  <c:v>Value</c:v>
                </c:pt>
                <c:pt idx="1">
                  <c:v>Pointer</c:v>
                </c:pt>
                <c:pt idx="2">
                  <c:v>End</c:v>
                </c:pt>
              </c:strCache>
            </c:strRef>
          </c:cat>
          <c:val>
            <c:numRef>
              <c:f>Calculations_KeyboardArea!$Q$7:$Q$9</c:f>
              <c:numCache>
                <c:formatCode>General</c:formatCode>
                <c:ptCount val="3"/>
                <c:pt idx="0">
                  <c:v>126.99999999999986</c:v>
                </c:pt>
                <c:pt idx="1">
                  <c:v>3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CD4-452E-9CE3-A41FE05C4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12742980561561E-2"/>
          <c:y val="3.7898363479758827E-2"/>
          <c:w val="0.77249820014398851"/>
          <c:h val="0.92420327304048233"/>
        </c:manualLayout>
      </c:layout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C11-4F42-B677-B61F347FAE75}"/>
              </c:ext>
            </c:extLst>
          </c:dPt>
          <c:dPt>
            <c:idx val="1"/>
            <c:bubble3D val="0"/>
            <c:spPr>
              <a:solidFill>
                <a:srgbClr val="990099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C11-4F42-B677-B61F347FAE7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C11-4F42-B677-B61F347FAE75}"/>
              </c:ext>
            </c:extLst>
          </c:dPt>
          <c:cat>
            <c:strRef>
              <c:f>Calculations_KeyboardArea!$P$7:$P$9</c:f>
              <c:strCache>
                <c:ptCount val="3"/>
                <c:pt idx="0">
                  <c:v>Value</c:v>
                </c:pt>
                <c:pt idx="1">
                  <c:v>Pointer</c:v>
                </c:pt>
                <c:pt idx="2">
                  <c:v>End</c:v>
                </c:pt>
              </c:strCache>
            </c:strRef>
          </c:cat>
          <c:val>
            <c:numRef>
              <c:f>Calculations_KeyboardArea!$Q$7:$Q$9</c:f>
              <c:numCache>
                <c:formatCode>General</c:formatCode>
                <c:ptCount val="3"/>
                <c:pt idx="0">
                  <c:v>126.99999999999986</c:v>
                </c:pt>
                <c:pt idx="1">
                  <c:v>3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C11-4F42-B677-B61F347FA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952231377625566E-2"/>
          <c:y val="4.9698713944419978E-2"/>
          <c:w val="0.92584839655394258"/>
          <c:h val="0.95030128605558006"/>
        </c:manualLayout>
      </c:layout>
      <c:pieChart>
        <c:varyColors val="1"/>
        <c:ser>
          <c:idx val="0"/>
          <c:order val="0"/>
          <c:spPr>
            <a:ln>
              <a:noFill/>
            </a:ln>
            <a:scene3d>
              <a:camera prst="orthographicFront"/>
              <a:lightRig rig="threePt" dir="t"/>
            </a:scene3d>
          </c:spPr>
          <c:explosion val="6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0C3-4CAE-8267-F357FA358D21}"/>
              </c:ext>
            </c:extLst>
          </c:dPt>
          <c:dPt>
            <c:idx val="1"/>
            <c:bubble3D val="0"/>
            <c:spPr>
              <a:solidFill>
                <a:srgbClr val="990099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3-80C3-4CAE-8267-F357FA358D2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0C3-4CAE-8267-F357FA358D21}"/>
              </c:ext>
            </c:extLst>
          </c:dPt>
          <c:cat>
            <c:strRef>
              <c:f>Calculations_KeyboardArea!$C$5:$C$7</c:f>
              <c:strCache>
                <c:ptCount val="3"/>
                <c:pt idx="0">
                  <c:v>Value</c:v>
                </c:pt>
                <c:pt idx="1">
                  <c:v>Pointer</c:v>
                </c:pt>
                <c:pt idx="2">
                  <c:v>End</c:v>
                </c:pt>
              </c:strCache>
            </c:strRef>
          </c:cat>
          <c:val>
            <c:numRef>
              <c:f>Calculations_KeyboardArea!$D$5:$D$7</c:f>
              <c:numCache>
                <c:formatCode>General</c:formatCode>
                <c:ptCount val="3"/>
                <c:pt idx="0">
                  <c:v>85.000000000000028</c:v>
                </c:pt>
                <c:pt idx="1">
                  <c:v>3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3-4CAE-8267-F357FA358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34998249219887"/>
          <c:y val="0.10760899456791673"/>
          <c:w val="0.77431533008940956"/>
          <c:h val="1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bg2">
                  <a:lumMod val="25000"/>
                </a:schemeClr>
              </a:solidFill>
            </a:ln>
          </c:spPr>
          <c:dPt>
            <c:idx val="0"/>
            <c:bubble3D val="0"/>
            <c:spPr>
              <a:solidFill>
                <a:srgbClr val="990099"/>
              </a:solidFill>
              <a:ln w="3175">
                <a:solidFill>
                  <a:schemeClr val="bg2">
                    <a:lumMod val="2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EF2B-438C-BF2B-0E720283D2FA}"/>
              </c:ext>
            </c:extLst>
          </c:dPt>
          <c:dPt>
            <c:idx val="1"/>
            <c:bubble3D val="0"/>
            <c:spPr>
              <a:noFill/>
              <a:ln w="3175">
                <a:solidFill>
                  <a:schemeClr val="bg2">
                    <a:lumMod val="2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EF2B-438C-BF2B-0E720283D2FA}"/>
              </c:ext>
            </c:extLst>
          </c:dPt>
          <c:dLbls>
            <c:dLbl>
              <c:idx val="0"/>
              <c:layout>
                <c:manualLayout>
                  <c:x val="-8.3359257813910445E-2"/>
                  <c:y val="8.261999328179782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F2B-438C-BF2B-0E720283D2F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5.0064641443811217E-2"/>
                      <c:h val="4.050120932561666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EF2B-438C-BF2B-0E720283D2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noFill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Calculations_MonitorArea!$Q$14:$Q$15</c:f>
              <c:numCache>
                <c:formatCode>_(* #,##0_);_(* \(#,##0\);_(* "-"??_);_(@_)</c:formatCode>
                <c:ptCount val="2"/>
                <c:pt idx="0">
                  <c:v>26433.709597555189</c:v>
                </c:pt>
                <c:pt idx="1">
                  <c:v>2508678.7351060552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2B-438C-BF2B-0E720283D2FA}"/>
            </c:ext>
          </c:extLst>
        </c:ser>
        <c:ser>
          <c:idx val="1"/>
          <c:order val="1"/>
          <c:spPr>
            <a:noFill/>
            <a:ln w="3175">
              <a:solidFill>
                <a:schemeClr val="bg2">
                  <a:lumMod val="25000"/>
                </a:schemeClr>
              </a:solidFill>
            </a:ln>
          </c:spPr>
          <c:dPt>
            <c:idx val="0"/>
            <c:bubble3D val="0"/>
            <c:spPr>
              <a:solidFill>
                <a:srgbClr val="990099"/>
              </a:solidFill>
              <a:ln w="3175">
                <a:solidFill>
                  <a:schemeClr val="bg2">
                    <a:lumMod val="2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F2B-438C-BF2B-0E720283D2FA}"/>
              </c:ext>
            </c:extLst>
          </c:dPt>
          <c:dPt>
            <c:idx val="1"/>
            <c:bubble3D val="0"/>
            <c:spPr>
              <a:noFill/>
              <a:ln w="3175">
                <a:solidFill>
                  <a:schemeClr val="bg2">
                    <a:lumMod val="2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F2B-438C-BF2B-0E720283D2FA}"/>
              </c:ext>
            </c:extLst>
          </c:dPt>
          <c:dLbls>
            <c:dLbl>
              <c:idx val="0"/>
              <c:layout>
                <c:manualLayout>
                  <c:x val="-7.7547618255920672E-2"/>
                  <c:y val="-3.040668583165757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F2B-438C-BF2B-0E720283D2F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F2B-438C-BF2B-0E720283D2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noFill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Calculations_MonitorArea!$R$14:$R$15</c:f>
              <c:numCache>
                <c:formatCode>_(* #,##0_);_(* \(#,##0\);_(* "-"??_);_(@_)</c:formatCode>
                <c:ptCount val="2"/>
                <c:pt idx="0">
                  <c:v>21146.967678044151</c:v>
                </c:pt>
                <c:pt idx="1">
                  <c:v>2508678.7351060552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2B-438C-BF2B-0E720283D2FA}"/>
            </c:ext>
          </c:extLst>
        </c:ser>
        <c:ser>
          <c:idx val="2"/>
          <c:order val="2"/>
          <c:spPr>
            <a:noFill/>
            <a:ln w="3175">
              <a:solidFill>
                <a:schemeClr val="bg2">
                  <a:lumMod val="25000"/>
                </a:schemeClr>
              </a:solidFill>
            </a:ln>
          </c:spPr>
          <c:dPt>
            <c:idx val="0"/>
            <c:bubble3D val="0"/>
            <c:spPr>
              <a:solidFill>
                <a:srgbClr val="990099"/>
              </a:solidFill>
              <a:ln w="3175">
                <a:solidFill>
                  <a:schemeClr val="bg2">
                    <a:lumMod val="2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F2B-438C-BF2B-0E720283D2FA}"/>
              </c:ext>
            </c:extLst>
          </c:dPt>
          <c:dPt>
            <c:idx val="1"/>
            <c:bubble3D val="0"/>
            <c:spPr>
              <a:noFill/>
              <a:ln w="3175">
                <a:solidFill>
                  <a:schemeClr val="bg2">
                    <a:lumMod val="2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EF2B-438C-BF2B-0E720283D2FA}"/>
              </c:ext>
            </c:extLst>
          </c:dPt>
          <c:dLbls>
            <c:dLbl>
              <c:idx val="0"/>
              <c:layout>
                <c:manualLayout>
                  <c:x val="-0.36408590081863951"/>
                  <c:y val="-0.2547321290369102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F2B-438C-BF2B-0E720283D2F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F2B-438C-BF2B-0E720283D2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noFill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Calculations_MonitorArea!$S$14:$S$15</c:f>
              <c:numCache>
                <c:formatCode>_(* #,##0_);_(* \(#,##0\);_(* "-"??_);_(@_)</c:formatCode>
                <c:ptCount val="2"/>
                <c:pt idx="0">
                  <c:v>2278794.4979911628</c:v>
                </c:pt>
                <c:pt idx="1">
                  <c:v>2508678.7351060552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2B-438C-BF2B-0E720283D2FA}"/>
            </c:ext>
          </c:extLst>
        </c:ser>
        <c:ser>
          <c:idx val="3"/>
          <c:order val="3"/>
          <c:spPr>
            <a:noFill/>
          </c:spPr>
          <c:explosion val="2"/>
          <c:dPt>
            <c:idx val="0"/>
            <c:bubble3D val="0"/>
            <c:spPr>
              <a:solidFill>
                <a:srgbClr val="990099"/>
              </a:solidFill>
              <a:ln w="3175">
                <a:solidFill>
                  <a:schemeClr val="bg2">
                    <a:lumMod val="2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EF2B-438C-BF2B-0E720283D2FA}"/>
              </c:ext>
            </c:extLst>
          </c:dPt>
          <c:dPt>
            <c:idx val="1"/>
            <c:bubble3D val="0"/>
            <c:spPr>
              <a:noFill/>
              <a:ln w="3175">
                <a:solidFill>
                  <a:schemeClr val="bg2">
                    <a:lumMod val="2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F2B-438C-BF2B-0E720283D2FA}"/>
              </c:ext>
            </c:extLst>
          </c:dPt>
          <c:dLbls>
            <c:dLbl>
              <c:idx val="0"/>
              <c:layout>
                <c:manualLayout>
                  <c:x val="-0.1495985666431188"/>
                  <c:y val="-5.221330745014081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F2B-438C-BF2B-0E720283D2F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F2B-438C-BF2B-0E720283D2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noFill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Calculations_MonitorArea!$T$14:$T$15</c:f>
              <c:numCache>
                <c:formatCode>_(* #,##0_);_(* \(#,##0\);_(* "-"??_);_(@_)</c:formatCode>
                <c:ptCount val="2"/>
                <c:pt idx="0">
                  <c:v>182303.55983929304</c:v>
                </c:pt>
                <c:pt idx="1">
                  <c:v>2508678.7351060552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2B-438C-BF2B-0E720283D2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23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bg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967362754572237E-2"/>
          <c:y val="0"/>
          <c:w val="0.890598349499509"/>
          <c:h val="0.94999999105225319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  <a:sp3d/>
          </c:spPr>
          <c:invertIfNegative val="0"/>
          <c:dLbls>
            <c:delete val="1"/>
          </c:dLbls>
          <c:val>
            <c:numRef>
              <c:f>Calculations_MonitorArea!$N$15</c:f>
              <c:numCache>
                <c:formatCode>General</c:formatCode>
                <c:ptCount val="1"/>
                <c:pt idx="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1-4AD6-9FAC-CE9B84695AFF}"/>
            </c:ext>
          </c:extLst>
        </c:ser>
        <c:ser>
          <c:idx val="0"/>
          <c:order val="1"/>
          <c:spPr>
            <a:gradFill>
              <a:gsLst>
                <a:gs pos="6000">
                  <a:srgbClr val="A355BB"/>
                </a:gs>
                <a:gs pos="41000">
                  <a:srgbClr val="AC59BC"/>
                </a:gs>
                <a:gs pos="67000">
                  <a:srgbClr val="A63DB1"/>
                </a:gs>
                <a:gs pos="100000">
                  <a:srgbClr val="990099"/>
                </a:gs>
              </a:gsLst>
              <a:lin ang="5400000" scaled="1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4.9727964540437257E-2"/>
                  <c:y val="-1.5708276282605495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tx1"/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0ECFF22-24CC-4710-BFD4-8CE39E9FF943}" type="VALUE">
                      <a:rPr lang="en-US" sz="1800" b="1">
                        <a:solidFill>
                          <a:schemeClr val="tx1"/>
                        </a:solidFill>
                      </a:rPr>
                      <a:pPr>
                        <a:defRPr sz="1800">
                          <a:solidFill>
                            <a:schemeClr val="tx1"/>
                          </a:solidFill>
                          <a:latin typeface="Times New Roman" panose="02020603050405020304" pitchFamily="18" charset="0"/>
                          <a:cs typeface="Times New Roman" panose="02020603050405020304" pitchFamily="18" charset="0"/>
                        </a:defRPr>
                      </a:pPr>
                      <a:t>[VALUE]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tx1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6247007022606645"/>
                      <c:h val="0.1951865530087180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F11-4AD6-9FAC-CE9B84695A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Calculations_MonitorArea!$N$14</c:f>
              <c:numCache>
                <c:formatCode>_(* #,##0_);_(* \(#,##0\);_(* "-"??_);_(@_)</c:formatCode>
                <c:ptCount val="1"/>
                <c:pt idx="0">
                  <c:v>264337.09597555187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1-4AD6-9FAC-CE9B84695AFF}"/>
            </c:ext>
          </c:extLst>
        </c:ser>
        <c:ser>
          <c:idx val="2"/>
          <c:order val="2"/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  <a:sp3d/>
          </c:spPr>
          <c:invertIfNegative val="0"/>
          <c:dLbls>
            <c:delete val="1"/>
          </c:dLbls>
          <c:val>
            <c:numRef>
              <c:f>Calculations_MonitorArea!$N$16</c:f>
              <c:numCache>
                <c:formatCode>_(* #,##0_);_(* \(#,##0\);_(* "-"??_);_(@_)</c:formatCode>
                <c:ptCount val="1"/>
                <c:pt idx="0">
                  <c:v>535662.90402444813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1-4AD6-9FAC-CE9B84695AF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0"/>
        <c:gapDepth val="85"/>
        <c:shape val="cylinder"/>
        <c:axId val="502628447"/>
        <c:axId val="1749028511"/>
        <c:axId val="0"/>
      </c:bar3DChart>
      <c:catAx>
        <c:axId val="502628447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9028511"/>
        <c:crosses val="autoZero"/>
        <c:auto val="1"/>
        <c:lblAlgn val="ctr"/>
        <c:lblOffset val="100"/>
        <c:noMultiLvlLbl val="0"/>
      </c:catAx>
      <c:valAx>
        <c:axId val="174902851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2628447"/>
        <c:crosses val="autoZero"/>
        <c:crossBetween val="between"/>
      </c:valAx>
      <c:spPr>
        <a:noFill/>
        <a:ln>
          <a:noFill/>
        </a:ln>
        <a:effectLst>
          <a:softEdge rad="0"/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967362754572237E-2"/>
          <c:y val="0"/>
          <c:w val="0.890598349499509"/>
          <c:h val="0.94999999105225319"/>
        </c:manualLayout>
      </c:layout>
      <c:bar3DChart>
        <c:barDir val="col"/>
        <c:grouping val="stacked"/>
        <c:varyColors val="0"/>
        <c:ser>
          <c:idx val="0"/>
          <c:order val="0"/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  <a:sp3d/>
          </c:spPr>
          <c:invertIfNegative val="0"/>
          <c:dLbls>
            <c:delete val="1"/>
          </c:dLbls>
          <c:val>
            <c:numRef>
              <c:f>Calculations_MonitorArea!$O$15</c:f>
              <c:numCache>
                <c:formatCode>General</c:formatCode>
                <c:ptCount val="1"/>
                <c:pt idx="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2B-4D78-97DA-6D16BB66BCC2}"/>
            </c:ext>
          </c:extLst>
        </c:ser>
        <c:ser>
          <c:idx val="2"/>
          <c:order val="1"/>
          <c:spPr>
            <a:gradFill>
              <a:gsLst>
                <a:gs pos="6000">
                  <a:srgbClr val="A355BB"/>
                </a:gs>
                <a:gs pos="41000">
                  <a:srgbClr val="AC59BC"/>
                </a:gs>
                <a:gs pos="67000">
                  <a:srgbClr val="A63DB1"/>
                </a:gs>
                <a:gs pos="100000">
                  <a:srgbClr val="990099"/>
                </a:gs>
              </a:gsLst>
              <a:lin ang="5400000" scaled="1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5.4214287776944606E-2"/>
                  <c:y val="4.512234715258436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C1FD01A-FF3D-486D-8D3F-6DA283A20BBE}" type="VALUE">
                      <a:rPr lang="en-US" sz="1800" b="1">
                        <a:solidFill>
                          <a:schemeClr val="tx1"/>
                        </a:solidFill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pPr>
                        <a:defRPr>
                          <a:solidFill>
                            <a:schemeClr val="tx1"/>
                          </a:solidFill>
                        </a:defRPr>
                      </a:pPr>
                      <a:t>[VALUE]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65922810302711"/>
                      <c:h val="4.501648416708666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D42B-4D78-97DA-6D16BB66BC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Calculations_MonitorArea!$O$14</c:f>
              <c:numCache>
                <c:formatCode>_(* #,##0_);_(* \(#,##0\);_(* "-"??_);_(@_)</c:formatCode>
                <c:ptCount val="1"/>
                <c:pt idx="0">
                  <c:v>185035.96718288629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2B-4D78-97DA-6D16BB66BCC2}"/>
            </c:ext>
          </c:extLst>
        </c:ser>
        <c:ser>
          <c:idx val="1"/>
          <c:order val="2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2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D42B-4D78-97DA-6D16BB66BCC2}"/>
              </c:ext>
            </c:extLst>
          </c:dPt>
          <c:dLbls>
            <c:delete val="1"/>
          </c:dLbls>
          <c:val>
            <c:numRef>
              <c:f>Calculations_MonitorArea!$O$16</c:f>
              <c:numCache>
                <c:formatCode>_(* #,##0_);_(* \(#,##0\);_(* "-"??_);_(@_)</c:formatCode>
                <c:ptCount val="1"/>
                <c:pt idx="0">
                  <c:v>614964.03281711368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2B-4D78-97DA-6D16BB66BC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0"/>
        <c:gapDepth val="85"/>
        <c:shape val="cylinder"/>
        <c:axId val="502628447"/>
        <c:axId val="1749028511"/>
        <c:axId val="0"/>
      </c:bar3DChart>
      <c:catAx>
        <c:axId val="502628447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9028511"/>
        <c:crosses val="autoZero"/>
        <c:auto val="1"/>
        <c:lblAlgn val="ctr"/>
        <c:lblOffset val="100"/>
        <c:noMultiLvlLbl val="0"/>
      </c:catAx>
      <c:valAx>
        <c:axId val="174902851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2628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967362754572237E-2"/>
          <c:y val="0"/>
          <c:w val="0.890598349499509"/>
          <c:h val="0.94999999105225319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  <a:sp3d/>
          </c:spPr>
          <c:invertIfNegative val="0"/>
          <c:dLbls>
            <c:delete val="1"/>
          </c:dLbls>
          <c:val>
            <c:numRef>
              <c:f>Calculations_MonitorArea!$P$15</c:f>
              <c:numCache>
                <c:formatCode>General</c:formatCode>
                <c:ptCount val="1"/>
                <c:pt idx="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27-4AB7-A210-77154FFD8C32}"/>
            </c:ext>
          </c:extLst>
        </c:ser>
        <c:ser>
          <c:idx val="0"/>
          <c:order val="1"/>
          <c:spPr>
            <a:gradFill>
              <a:gsLst>
                <a:gs pos="6000">
                  <a:srgbClr val="A355BB"/>
                </a:gs>
                <a:gs pos="41000">
                  <a:srgbClr val="AC59BC"/>
                </a:gs>
                <a:gs pos="67000">
                  <a:srgbClr val="A63DB1"/>
                </a:gs>
                <a:gs pos="100000">
                  <a:srgbClr val="990099"/>
                </a:gs>
              </a:gsLst>
              <a:lin ang="5400000" scaled="1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4.0822219476149245E-2"/>
                  <c:y val="4.4944720851002691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tx1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605891231225606"/>
                      <c:h val="0.1462921866025609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EB27-4AB7-A210-77154FFD8C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Calculations_MonitorArea!$P$14</c:f>
              <c:numCache>
                <c:formatCode>_(* #,##0_);_(* \(#,##0\);_(* "-"??_);_(@_)</c:formatCode>
                <c:ptCount val="1"/>
                <c:pt idx="0">
                  <c:v>284670.71874290198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27-4AB7-A210-77154FFD8C32}"/>
            </c:ext>
          </c:extLst>
        </c:ser>
        <c:ser>
          <c:idx val="2"/>
          <c:order val="2"/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  <a:sp3d/>
          </c:spPr>
          <c:invertIfNegative val="0"/>
          <c:dLbls>
            <c:delete val="1"/>
          </c:dLbls>
          <c:val>
            <c:numRef>
              <c:f>Calculations_MonitorArea!$P$16</c:f>
              <c:numCache>
                <c:formatCode>_(* #,##0_);_(* \(#,##0\);_(* "-"??_);_(@_)</c:formatCode>
                <c:ptCount val="1"/>
                <c:pt idx="0">
                  <c:v>515329.28125709808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27-4AB7-A210-77154FFD8C3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0"/>
        <c:gapDepth val="85"/>
        <c:shape val="cylinder"/>
        <c:axId val="502628447"/>
        <c:axId val="1749028511"/>
        <c:axId val="0"/>
      </c:bar3DChart>
      <c:catAx>
        <c:axId val="502628447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9028511"/>
        <c:crosses val="autoZero"/>
        <c:auto val="1"/>
        <c:lblAlgn val="ctr"/>
        <c:lblOffset val="100"/>
        <c:noMultiLvlLbl val="0"/>
      </c:catAx>
      <c:valAx>
        <c:axId val="174902851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2628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990099"/>
              </a:solidFill>
              <a:round/>
            </a:ln>
            <a:effectLst/>
          </c:spPr>
          <c:marker>
            <c:symbol val="none"/>
          </c:marker>
          <c:cat>
            <c:numRef>
              <c:f>Calculations_MonitorArea!$Q$22:$Q$65</c:f>
              <c:numCache>
                <c:formatCode>General</c:formatCode>
                <c:ptCount val="44"/>
                <c:pt idx="0">
                  <c:v>67</c:v>
                </c:pt>
                <c:pt idx="1">
                  <c:v>68</c:v>
                </c:pt>
                <c:pt idx="2">
                  <c:v>69</c:v>
                </c:pt>
                <c:pt idx="3">
                  <c:v>70</c:v>
                </c:pt>
                <c:pt idx="4">
                  <c:v>71</c:v>
                </c:pt>
                <c:pt idx="5">
                  <c:v>72</c:v>
                </c:pt>
                <c:pt idx="6">
                  <c:v>73</c:v>
                </c:pt>
                <c:pt idx="7">
                  <c:v>74</c:v>
                </c:pt>
                <c:pt idx="8">
                  <c:v>75</c:v>
                </c:pt>
                <c:pt idx="9">
                  <c:v>76</c:v>
                </c:pt>
                <c:pt idx="10">
                  <c:v>77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81</c:v>
                </c:pt>
                <c:pt idx="15">
                  <c:v>82</c:v>
                </c:pt>
                <c:pt idx="16">
                  <c:v>83</c:v>
                </c:pt>
                <c:pt idx="17">
                  <c:v>84</c:v>
                </c:pt>
                <c:pt idx="18">
                  <c:v>85</c:v>
                </c:pt>
                <c:pt idx="19">
                  <c:v>86</c:v>
                </c:pt>
                <c:pt idx="20">
                  <c:v>87</c:v>
                </c:pt>
                <c:pt idx="21">
                  <c:v>88</c:v>
                </c:pt>
                <c:pt idx="22">
                  <c:v>89</c:v>
                </c:pt>
                <c:pt idx="23">
                  <c:v>90</c:v>
                </c:pt>
                <c:pt idx="24">
                  <c:v>91</c:v>
                </c:pt>
                <c:pt idx="25">
                  <c:v>92</c:v>
                </c:pt>
                <c:pt idx="26">
                  <c:v>93</c:v>
                </c:pt>
                <c:pt idx="27">
                  <c:v>94</c:v>
                </c:pt>
                <c:pt idx="28">
                  <c:v>95</c:v>
                </c:pt>
                <c:pt idx="29">
                  <c:v>96</c:v>
                </c:pt>
                <c:pt idx="30">
                  <c:v>97</c:v>
                </c:pt>
                <c:pt idx="31">
                  <c:v>98</c:v>
                </c:pt>
                <c:pt idx="32">
                  <c:v>99</c:v>
                </c:pt>
                <c:pt idx="33">
                  <c:v>100</c:v>
                </c:pt>
                <c:pt idx="34">
                  <c:v>101</c:v>
                </c:pt>
                <c:pt idx="35">
                  <c:v>102</c:v>
                </c:pt>
                <c:pt idx="36">
                  <c:v>103</c:v>
                </c:pt>
                <c:pt idx="37">
                  <c:v>104</c:v>
                </c:pt>
                <c:pt idx="38">
                  <c:v>105</c:v>
                </c:pt>
                <c:pt idx="39">
                  <c:v>106</c:v>
                </c:pt>
                <c:pt idx="40">
                  <c:v>107</c:v>
                </c:pt>
                <c:pt idx="41">
                  <c:v>108</c:v>
                </c:pt>
                <c:pt idx="42">
                  <c:v>109</c:v>
                </c:pt>
                <c:pt idx="43">
                  <c:v>110</c:v>
                </c:pt>
              </c:numCache>
            </c:numRef>
          </c:cat>
          <c:val>
            <c:numRef>
              <c:f>Calculations_MonitorArea!$R$22:$R$65</c:f>
              <c:numCache>
                <c:formatCode>_(* #,##0_);_(* \(#,##0\);_(* "-"??_);_(@_)</c:formatCode>
                <c:ptCount val="44"/>
                <c:pt idx="0">
                  <c:v>2349441.9531184561</c:v>
                </c:pt>
                <c:pt idx="1">
                  <c:v>2176549.9176566191</c:v>
                </c:pt>
                <c:pt idx="2">
                  <c:v>1989205.997759335</c:v>
                </c:pt>
                <c:pt idx="3">
                  <c:v>1786571.4535515844</c:v>
                </c:pt>
                <c:pt idx="4">
                  <c:v>1567763.2852515317</c:v>
                </c:pt>
                <c:pt idx="5">
                  <c:v>1331851.973716924</c:v>
                </c:pt>
                <c:pt idx="6">
                  <c:v>1077859.107089642</c:v>
                </c:pt>
                <c:pt idx="7">
                  <c:v>804754.88782473328</c:v>
                </c:pt>
                <c:pt idx="8">
                  <c:v>511455.51410419133</c:v>
                </c:pt>
                <c:pt idx="9">
                  <c:v>196820.42933538673</c:v>
                </c:pt>
                <c:pt idx="10">
                  <c:v>-140350.56688133843</c:v>
                </c:pt>
                <c:pt idx="11">
                  <c:v>-501320.35326256976</c:v>
                </c:pt>
                <c:pt idx="12">
                  <c:v>-887417.67412360595</c:v>
                </c:pt>
                <c:pt idx="13">
                  <c:v>-1300040.4870916521</c:v>
                </c:pt>
                <c:pt idx="14">
                  <c:v>-1740659.479293338</c:v>
                </c:pt>
                <c:pt idx="15">
                  <c:v>-2210821.7604620503</c:v>
                </c:pt>
                <c:pt idx="16">
                  <c:v>-2712154.7418332794</c:v>
                </c:pt>
                <c:pt idx="17">
                  <c:v>-3246370.2101400322</c:v>
                </c:pt>
                <c:pt idx="18">
                  <c:v>-3815268.6064864243</c:v>
                </c:pt>
                <c:pt idx="19">
                  <c:v>-4420743.5203669239</c:v>
                </c:pt>
                <c:pt idx="20">
                  <c:v>-5064786.4096125718</c:v>
                </c:pt>
                <c:pt idx="21">
                  <c:v>-5749491.5575850485</c:v>
                </c:pt>
                <c:pt idx="22">
                  <c:v>-6477061.2795059858</c:v>
                </c:pt>
                <c:pt idx="23">
                  <c:v>-7249811.3904038044</c:v>
                </c:pt>
                <c:pt idx="24">
                  <c:v>-8070176.947784964</c:v>
                </c:pt>
                <c:pt idx="25">
                  <c:v>-8940718.2827924006</c:v>
                </c:pt>
                <c:pt idx="26">
                  <c:v>-9864127.3343025744</c:v>
                </c:pt>
                <c:pt idx="27">
                  <c:v>-10843234.301135667</c:v>
                </c:pt>
                <c:pt idx="28">
                  <c:v>-11881014.628312774</c:v>
                </c:pt>
                <c:pt idx="29">
                  <c:v>-12980596.344091142</c:v>
                </c:pt>
                <c:pt idx="30">
                  <c:v>-14145267.765345681</c:v>
                </c:pt>
                <c:pt idx="31">
                  <c:v>-15378485.589743949</c:v>
                </c:pt>
                <c:pt idx="32">
                  <c:v>-16683883.39408475</c:v>
                </c:pt>
                <c:pt idx="33">
                  <c:v>-18065280.559139661</c:v>
                </c:pt>
                <c:pt idx="34">
                  <c:v>-19526691.642354336</c:v>
                </c:pt>
                <c:pt idx="35">
                  <c:v>-21072336.220834896</c:v>
                </c:pt>
                <c:pt idx="36">
                  <c:v>-22706649.22816674</c:v>
                </c:pt>
                <c:pt idx="37">
                  <c:v>-24434291.80979098</c:v>
                </c:pt>
                <c:pt idx="38">
                  <c:v>-26260162.722900752</c:v>
                </c:pt>
                <c:pt idx="39">
                  <c:v>-28189410.308118414</c:v>
                </c:pt>
                <c:pt idx="40">
                  <c:v>-30227445.061578412</c:v>
                </c:pt>
                <c:pt idx="41">
                  <c:v>-32379952.837472491</c:v>
                </c:pt>
                <c:pt idx="42">
                  <c:v>-34652908.712617576</c:v>
                </c:pt>
                <c:pt idx="43">
                  <c:v>-37052591.546185344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BE-458E-801B-583A82156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660559"/>
        <c:axId val="608661807"/>
      </c:lineChart>
      <c:catAx>
        <c:axId val="6086605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08661807"/>
        <c:crosses val="autoZero"/>
        <c:auto val="1"/>
        <c:lblAlgn val="ctr"/>
        <c:lblOffset val="100"/>
        <c:noMultiLvlLbl val="0"/>
      </c:catAx>
      <c:valAx>
        <c:axId val="608661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/>
                  <a:t>Funds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08660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chemeClr val="bg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19421394541739"/>
          <c:y val="2.098362533709423E-2"/>
          <c:w val="0.65472785553966262"/>
          <c:h val="0.9230600404306544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AE0-4A7A-8A6E-D9C9BCE7711C}"/>
              </c:ext>
            </c:extLst>
          </c:dPt>
          <c:dPt>
            <c:idx val="1"/>
            <c:bubble3D val="0"/>
            <c:spPr>
              <a:solidFill>
                <a:srgbClr val="990099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AE0-4A7A-8A6E-D9C9BCE7711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AE0-4A7A-8A6E-D9C9BCE7711C}"/>
              </c:ext>
            </c:extLst>
          </c:dPt>
          <c:cat>
            <c:strRef>
              <c:f>Calculations_KeyboardArea!$M$7:$M$9</c:f>
              <c:strCache>
                <c:ptCount val="3"/>
                <c:pt idx="0">
                  <c:v>Value</c:v>
                </c:pt>
                <c:pt idx="1">
                  <c:v>Pointer</c:v>
                </c:pt>
                <c:pt idx="2">
                  <c:v>End</c:v>
                </c:pt>
              </c:strCache>
            </c:strRef>
          </c:cat>
          <c:val>
            <c:numRef>
              <c:f>Calculations_KeyboardArea!$N$7:$N$9</c:f>
              <c:numCache>
                <c:formatCode>General</c:formatCode>
                <c:ptCount val="3"/>
                <c:pt idx="0">
                  <c:v>181</c:v>
                </c:pt>
                <c:pt idx="1">
                  <c:v>3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AE0-4A7A-8A6E-D9C9BCE77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39" fmlaLink="$R$91" horiz="1" max="90" min="47" page="10" val="67"/>
</file>

<file path=xl/ctrlProps/ctrlProp2.xml><?xml version="1.0" encoding="utf-8"?>
<formControlPr xmlns="http://schemas.microsoft.com/office/spreadsheetml/2009/9/main" objectType="Scroll" dx="39" fmlaLink="$AH$91" horiz="1" max="100" page="10" val="70"/>
</file>

<file path=xl/ctrlProps/ctrlProp3.xml><?xml version="1.0" encoding="utf-8"?>
<formControlPr xmlns="http://schemas.microsoft.com/office/spreadsheetml/2009/9/main" objectType="Scroll" dx="39" fmlaLink="$Z$91" horiz="1" max="8" page="10" val="8"/>
</file>

<file path=xl/ctrlProps/ctrlProp4.xml><?xml version="1.0" encoding="utf-8"?>
<formControlPr xmlns="http://schemas.microsoft.com/office/spreadsheetml/2009/9/main" objectType="Spin" dx="39" fmlaLink="$AL$74" max="3" min="1" page="10" val="3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657225</xdr:colOff>
      <xdr:row>6</xdr:row>
      <xdr:rowOff>47625</xdr:rowOff>
    </xdr:from>
    <xdr:to>
      <xdr:col>40</xdr:col>
      <xdr:colOff>478632</xdr:colOff>
      <xdr:row>44</xdr:row>
      <xdr:rowOff>57150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361949</xdr:colOff>
      <xdr:row>21</xdr:row>
      <xdr:rowOff>95247</xdr:rowOff>
    </xdr:from>
    <xdr:to>
      <xdr:col>23</xdr:col>
      <xdr:colOff>133349</xdr:colOff>
      <xdr:row>35</xdr:row>
      <xdr:rowOff>38097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440531</xdr:colOff>
      <xdr:row>2</xdr:row>
      <xdr:rowOff>71437</xdr:rowOff>
    </xdr:from>
    <xdr:to>
      <xdr:col>10</xdr:col>
      <xdr:colOff>750094</xdr:colOff>
      <xdr:row>17</xdr:row>
      <xdr:rowOff>83344</xdr:rowOff>
    </xdr:to>
    <xdr:sp macro="" textlink="">
      <xdr:nvSpPr>
        <xdr:cNvPr id="3" name="Block Arc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16266" y="476250"/>
          <a:ext cx="2827734" cy="3048000"/>
        </a:xfrm>
        <a:prstGeom prst="blockArc">
          <a:avLst>
            <a:gd name="adj1" fmla="val 11714770"/>
            <a:gd name="adj2" fmla="val 21038928"/>
            <a:gd name="adj3" fmla="val 9342"/>
          </a:avLst>
        </a:prstGeom>
        <a:solidFill>
          <a:srgbClr val="00B0F0">
            <a:alpha val="56000"/>
          </a:srgbClr>
        </a:solidFill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815581</xdr:colOff>
      <xdr:row>1</xdr:row>
      <xdr:rowOff>0</xdr:rowOff>
    </xdr:from>
    <xdr:to>
      <xdr:col>11</xdr:col>
      <xdr:colOff>398860</xdr:colOff>
      <xdr:row>14</xdr:row>
      <xdr:rowOff>23813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488155</xdr:colOff>
      <xdr:row>7</xdr:row>
      <xdr:rowOff>172641</xdr:rowOff>
    </xdr:from>
    <xdr:to>
      <xdr:col>7</xdr:col>
      <xdr:colOff>821531</xdr:colOff>
      <xdr:row>8</xdr:row>
      <xdr:rowOff>113109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6363890" y="1589485"/>
          <a:ext cx="333376" cy="14287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89297</xdr:colOff>
      <xdr:row>5</xdr:row>
      <xdr:rowOff>41672</xdr:rowOff>
    </xdr:from>
    <xdr:to>
      <xdr:col>8</xdr:col>
      <xdr:colOff>244078</xdr:colOff>
      <xdr:row>5</xdr:row>
      <xdr:rowOff>190500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>
          <a:off x="6804422" y="1053703"/>
          <a:ext cx="154781" cy="14882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214312</xdr:colOff>
      <xdr:row>3</xdr:row>
      <xdr:rowOff>29763</xdr:rowOff>
    </xdr:from>
    <xdr:to>
      <xdr:col>9</xdr:col>
      <xdr:colOff>214313</xdr:colOff>
      <xdr:row>4</xdr:row>
      <xdr:rowOff>41672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H="1">
          <a:off x="7768828" y="636982"/>
          <a:ext cx="1" cy="21431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809625</xdr:colOff>
      <xdr:row>4</xdr:row>
      <xdr:rowOff>125015</xdr:rowOff>
    </xdr:from>
    <xdr:to>
      <xdr:col>10</xdr:col>
      <xdr:colOff>107157</xdr:colOff>
      <xdr:row>5</xdr:row>
      <xdr:rowOff>89297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8364141" y="934640"/>
          <a:ext cx="136922" cy="16668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267891</xdr:colOff>
      <xdr:row>6</xdr:row>
      <xdr:rowOff>148828</xdr:rowOff>
    </xdr:from>
    <xdr:to>
      <xdr:col>10</xdr:col>
      <xdr:colOff>446486</xdr:colOff>
      <xdr:row>7</xdr:row>
      <xdr:rowOff>41672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 flipH="1">
          <a:off x="8661797" y="1363266"/>
          <a:ext cx="178595" cy="9525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392907</xdr:colOff>
      <xdr:row>8</xdr:row>
      <xdr:rowOff>101203</xdr:rowOff>
    </xdr:from>
    <xdr:to>
      <xdr:col>10</xdr:col>
      <xdr:colOff>756048</xdr:colOff>
      <xdr:row>9</xdr:row>
      <xdr:rowOff>17859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 flipV="1">
          <a:off x="8786813" y="1720453"/>
          <a:ext cx="363141" cy="11906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13606</xdr:colOff>
      <xdr:row>13</xdr:row>
      <xdr:rowOff>136071</xdr:rowOff>
    </xdr:from>
    <xdr:to>
      <xdr:col>11</xdr:col>
      <xdr:colOff>433725</xdr:colOff>
      <xdr:row>25</xdr:row>
      <xdr:rowOff>124504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34016</xdr:colOff>
      <xdr:row>23</xdr:row>
      <xdr:rowOff>156482</xdr:rowOff>
    </xdr:from>
    <xdr:to>
      <xdr:col>12</xdr:col>
      <xdr:colOff>278947</xdr:colOff>
      <xdr:row>38</xdr:row>
      <xdr:rowOff>47625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492121</xdr:colOff>
      <xdr:row>14</xdr:row>
      <xdr:rowOff>197642</xdr:rowOff>
    </xdr:from>
    <xdr:to>
      <xdr:col>10</xdr:col>
      <xdr:colOff>462357</xdr:colOff>
      <xdr:row>29</xdr:row>
      <xdr:rowOff>44790</xdr:rowOff>
    </xdr:to>
    <xdr:sp macro="" textlink="">
      <xdr:nvSpPr>
        <xdr:cNvPr id="9" name="Block Arc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381746" y="2975767"/>
          <a:ext cx="2494361" cy="2823711"/>
        </a:xfrm>
        <a:prstGeom prst="blockArc">
          <a:avLst>
            <a:gd name="adj1" fmla="val 11714770"/>
            <a:gd name="adj2" fmla="val 21038928"/>
            <a:gd name="adj3" fmla="val 9342"/>
          </a:avLst>
        </a:prstGeom>
        <a:solidFill>
          <a:srgbClr val="00B0F0">
            <a:alpha val="56000"/>
          </a:srgbClr>
        </a:solidFill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89297</xdr:colOff>
      <xdr:row>24</xdr:row>
      <xdr:rowOff>186530</xdr:rowOff>
    </xdr:from>
    <xdr:to>
      <xdr:col>11</xdr:col>
      <xdr:colOff>398860</xdr:colOff>
      <xdr:row>40</xdr:row>
      <xdr:rowOff>0</xdr:rowOff>
    </xdr:to>
    <xdr:sp macro="" textlink="">
      <xdr:nvSpPr>
        <xdr:cNvPr id="10" name="Block Arc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820297" y="4949030"/>
          <a:ext cx="2833688" cy="2988470"/>
        </a:xfrm>
        <a:prstGeom prst="blockArc">
          <a:avLst>
            <a:gd name="adj1" fmla="val 11714770"/>
            <a:gd name="adj2" fmla="val 21038928"/>
            <a:gd name="adj3" fmla="val 9342"/>
          </a:avLst>
        </a:prstGeom>
        <a:solidFill>
          <a:srgbClr val="00B0F0">
            <a:alpha val="56000"/>
          </a:srgbClr>
        </a:solidFill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840056</xdr:colOff>
      <xdr:row>81</xdr:row>
      <xdr:rowOff>9525</xdr:rowOff>
    </xdr:from>
    <xdr:to>
      <xdr:col>35</xdr:col>
      <xdr:colOff>125681</xdr:colOff>
      <xdr:row>98</xdr:row>
      <xdr:rowOff>0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461917</xdr:colOff>
      <xdr:row>89</xdr:row>
      <xdr:rowOff>95250</xdr:rowOff>
    </xdr:from>
    <xdr:to>
      <xdr:col>27</xdr:col>
      <xdr:colOff>57225</xdr:colOff>
      <xdr:row>91</xdr:row>
      <xdr:rowOff>0</xdr:rowOff>
    </xdr:to>
    <xdr:sp macro="" textlink="">
      <xdr:nvSpPr>
        <xdr:cNvPr id="177" name="TextBox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SpPr txBox="1"/>
      </xdr:nvSpPr>
      <xdr:spPr>
        <a:xfrm>
          <a:off x="21524075" y="19454813"/>
          <a:ext cx="1190745" cy="6072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600">
              <a:solidFill>
                <a:schemeClr val="bg1"/>
              </a:solidFill>
              <a:latin typeface="Agency FB" panose="020B0503020202020204" pitchFamily="34" charset="0"/>
            </a:rPr>
            <a:t>%</a:t>
          </a:r>
        </a:p>
      </xdr:txBody>
    </xdr:sp>
    <xdr:clientData/>
  </xdr:twoCellAnchor>
  <xdr:twoCellAnchor>
    <xdr:from>
      <xdr:col>23</xdr:col>
      <xdr:colOff>714945</xdr:colOff>
      <xdr:row>91</xdr:row>
      <xdr:rowOff>55394</xdr:rowOff>
    </xdr:from>
    <xdr:to>
      <xdr:col>27</xdr:col>
      <xdr:colOff>69131</xdr:colOff>
      <xdr:row>96</xdr:row>
      <xdr:rowOff>160485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SpPr/>
      </xdr:nvSpPr>
      <xdr:spPr>
        <a:xfrm>
          <a:off x="20222145" y="19981694"/>
          <a:ext cx="2640312" cy="1105217"/>
        </a:xfrm>
        <a:prstGeom prst="rect">
          <a:avLst/>
        </a:prstGeom>
        <a:solidFill>
          <a:srgbClr val="990099"/>
        </a:solidFill>
        <a:ln>
          <a:noFill/>
        </a:ln>
        <a:effectLst>
          <a:softEdge rad="508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468982</xdr:colOff>
      <xdr:row>89</xdr:row>
      <xdr:rowOff>111761</xdr:rowOff>
    </xdr:from>
    <xdr:ext cx="918492" cy="638957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SpPr txBox="1"/>
      </xdr:nvSpPr>
      <xdr:spPr>
        <a:xfrm>
          <a:off x="28843958" y="19342737"/>
          <a:ext cx="918492" cy="6389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3600">
              <a:solidFill>
                <a:schemeClr val="bg1"/>
              </a:solidFill>
              <a:latin typeface="Agency FB" panose="020B0503020202020204" pitchFamily="34" charset="0"/>
            </a:rPr>
            <a:t>%</a:t>
          </a:r>
          <a:endParaRPr lang="en-US" sz="1100">
            <a:solidFill>
              <a:schemeClr val="bg1"/>
            </a:solidFill>
            <a:latin typeface="Agency FB" panose="020B0503020202020204" pitchFamily="34" charset="0"/>
          </a:endParaRPr>
        </a:p>
      </xdr:txBody>
    </xdr:sp>
    <xdr:clientData/>
  </xdr:oneCellAnchor>
  <xdr:twoCellAnchor>
    <xdr:from>
      <xdr:col>31</xdr:col>
      <xdr:colOff>829570</xdr:colOff>
      <xdr:row>91</xdr:row>
      <xdr:rowOff>61539</xdr:rowOff>
    </xdr:from>
    <xdr:to>
      <xdr:col>34</xdr:col>
      <xdr:colOff>752874</xdr:colOff>
      <xdr:row>96</xdr:row>
      <xdr:rowOff>166630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SpPr/>
      </xdr:nvSpPr>
      <xdr:spPr>
        <a:xfrm>
          <a:off x="27213820" y="20123572"/>
          <a:ext cx="2626024" cy="1117121"/>
        </a:xfrm>
        <a:prstGeom prst="rect">
          <a:avLst/>
        </a:prstGeom>
        <a:solidFill>
          <a:srgbClr val="990099"/>
        </a:solidFill>
        <a:ln>
          <a:noFill/>
        </a:ln>
        <a:effectLst>
          <a:softEdge rad="508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632540</xdr:colOff>
      <xdr:row>79</xdr:row>
      <xdr:rowOff>106258</xdr:rowOff>
    </xdr:from>
    <xdr:to>
      <xdr:col>19</xdr:col>
      <xdr:colOff>655899</xdr:colOff>
      <xdr:row>103</xdr:row>
      <xdr:rowOff>48797</xdr:rowOff>
    </xdr:to>
    <xdr:sp macro="" textlink="">
      <xdr:nvSpPr>
        <xdr:cNvPr id="26" name="Block Arc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 rot="358144">
          <a:off x="12559957" y="17378258"/>
          <a:ext cx="4203775" cy="4768539"/>
        </a:xfrm>
        <a:prstGeom prst="blockArc">
          <a:avLst>
            <a:gd name="adj1" fmla="val 10869969"/>
            <a:gd name="adj2" fmla="val 43616"/>
            <a:gd name="adj3" fmla="val 10254"/>
          </a:avLst>
        </a:prstGeom>
        <a:solidFill>
          <a:srgbClr val="00B0F0">
            <a:alpha val="56000"/>
          </a:srgbClr>
        </a:solidFill>
        <a:ln w="19050">
          <a:solidFill>
            <a:srgbClr val="00B0F0"/>
          </a:solidFill>
        </a:ln>
        <a:scene3d>
          <a:camera prst="orthographicFront">
            <a:rot lat="2415280" lon="20852067" rev="21467997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211970</xdr:colOff>
      <xdr:row>81</xdr:row>
      <xdr:rowOff>46943</xdr:rowOff>
    </xdr:from>
    <xdr:to>
      <xdr:col>19</xdr:col>
      <xdr:colOff>496999</xdr:colOff>
      <xdr:row>98</xdr:row>
      <xdr:rowOff>53753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745137</xdr:colOff>
      <xdr:row>91</xdr:row>
      <xdr:rowOff>24437</xdr:rowOff>
    </xdr:from>
    <xdr:to>
      <xdr:col>19</xdr:col>
      <xdr:colOff>37411</xdr:colOff>
      <xdr:row>96</xdr:row>
      <xdr:rowOff>129528</xdr:rowOff>
    </xdr:to>
    <xdr:sp macro="" textlink="">
      <xdr:nvSpPr>
        <xdr:cNvPr id="160" name="Rectangle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SpPr/>
      </xdr:nvSpPr>
      <xdr:spPr>
        <a:xfrm>
          <a:off x="13472920" y="20086470"/>
          <a:ext cx="2626024" cy="1117121"/>
        </a:xfrm>
        <a:prstGeom prst="rect">
          <a:avLst/>
        </a:prstGeom>
        <a:solidFill>
          <a:srgbClr val="990099"/>
        </a:solidFill>
        <a:ln>
          <a:noFill/>
        </a:ln>
        <a:effectLst>
          <a:softEdge rad="508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681037</xdr:colOff>
      <xdr:row>89</xdr:row>
      <xdr:rowOff>152401</xdr:rowOff>
    </xdr:from>
    <xdr:to>
      <xdr:col>15</xdr:col>
      <xdr:colOff>366712</xdr:colOff>
      <xdr:row>90</xdr:row>
      <xdr:rowOff>4763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/>
      </xdr:nvCxnSpPr>
      <xdr:spPr>
        <a:xfrm>
          <a:off x="12634912" y="19345276"/>
          <a:ext cx="523875" cy="5238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95250</xdr:colOff>
      <xdr:row>90</xdr:row>
      <xdr:rowOff>9525</xdr:rowOff>
    </xdr:from>
    <xdr:to>
      <xdr:col>19</xdr:col>
      <xdr:colOff>638175</xdr:colOff>
      <xdr:row>90</xdr:row>
      <xdr:rowOff>33338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V="1">
          <a:off x="16240125" y="19402425"/>
          <a:ext cx="542925" cy="2381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140895</xdr:colOff>
      <xdr:row>82</xdr:row>
      <xdr:rowOff>58229</xdr:rowOff>
    </xdr:from>
    <xdr:to>
      <xdr:col>17</xdr:col>
      <xdr:colOff>164041</xdr:colOff>
      <xdr:row>83</xdr:row>
      <xdr:rowOff>63500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>
          <a:off x="14576562" y="17933479"/>
          <a:ext cx="23146" cy="20635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353483</xdr:colOff>
      <xdr:row>83</xdr:row>
      <xdr:rowOff>36379</xdr:rowOff>
    </xdr:from>
    <xdr:to>
      <xdr:col>18</xdr:col>
      <xdr:colOff>501119</xdr:colOff>
      <xdr:row>84</xdr:row>
      <xdr:rowOff>47096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 flipH="1">
          <a:off x="15625233" y="18112712"/>
          <a:ext cx="147636" cy="21180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86</xdr:row>
      <xdr:rowOff>127398</xdr:rowOff>
    </xdr:from>
    <xdr:to>
      <xdr:col>19</xdr:col>
      <xdr:colOff>277419</xdr:colOff>
      <xdr:row>87</xdr:row>
      <xdr:rowOff>66676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 flipH="1">
          <a:off x="16144876" y="18720198"/>
          <a:ext cx="277418" cy="13930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400975</xdr:colOff>
      <xdr:row>85</xdr:row>
      <xdr:rowOff>140362</xdr:rowOff>
    </xdr:from>
    <xdr:to>
      <xdr:col>15</xdr:col>
      <xdr:colOff>651106</xdr:colOff>
      <xdr:row>86</xdr:row>
      <xdr:rowOff>173105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>
          <a:off x="13164475" y="18618862"/>
          <a:ext cx="250131" cy="23382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147922</xdr:colOff>
      <xdr:row>72</xdr:row>
      <xdr:rowOff>0</xdr:rowOff>
    </xdr:from>
    <xdr:to>
      <xdr:col>43</xdr:col>
      <xdr:colOff>436559</xdr:colOff>
      <xdr:row>106</xdr:row>
      <xdr:rowOff>106776</xdr:rowOff>
    </xdr:to>
    <xdr:sp macro="" textlink="">
      <xdr:nvSpPr>
        <xdr:cNvPr id="2" name="Flowchart: Manual Operatio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0800000">
          <a:off x="5374767" y="15918658"/>
          <a:ext cx="32709355" cy="7286243"/>
        </a:xfrm>
        <a:prstGeom prst="flowChartManualOperation">
          <a:avLst/>
        </a:prstGeom>
        <a:noFill/>
        <a:ln w="50800"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571500</xdr:colOff>
      <xdr:row>19</xdr:row>
      <xdr:rowOff>176893</xdr:rowOff>
    </xdr:from>
    <xdr:to>
      <xdr:col>31</xdr:col>
      <xdr:colOff>15875</xdr:colOff>
      <xdr:row>39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381001</xdr:colOff>
      <xdr:row>18</xdr:row>
      <xdr:rowOff>35717</xdr:rowOff>
    </xdr:from>
    <xdr:to>
      <xdr:col>34</xdr:col>
      <xdr:colOff>595313</xdr:colOff>
      <xdr:row>19</xdr:row>
      <xdr:rowOff>71436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9337001" y="3917155"/>
          <a:ext cx="214312" cy="238126"/>
        </a:xfrm>
        <a:prstGeom prst="ellipse">
          <a:avLst/>
        </a:prstGeom>
        <a:solidFill>
          <a:schemeClr val="tx1"/>
        </a:solidFill>
        <a:ln>
          <a:solidFill>
            <a:srgbClr val="9900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869157</xdr:colOff>
      <xdr:row>18</xdr:row>
      <xdr:rowOff>35720</xdr:rowOff>
    </xdr:from>
    <xdr:to>
      <xdr:col>34</xdr:col>
      <xdr:colOff>1083469</xdr:colOff>
      <xdr:row>19</xdr:row>
      <xdr:rowOff>71439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9825157" y="3917158"/>
          <a:ext cx="214312" cy="238126"/>
        </a:xfrm>
        <a:prstGeom prst="ellipse">
          <a:avLst/>
        </a:prstGeom>
        <a:solidFill>
          <a:schemeClr val="tx1"/>
        </a:solidFill>
        <a:ln>
          <a:solidFill>
            <a:srgbClr val="9900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756044</xdr:colOff>
      <xdr:row>21</xdr:row>
      <xdr:rowOff>119060</xdr:rowOff>
    </xdr:from>
    <xdr:to>
      <xdr:col>18</xdr:col>
      <xdr:colOff>214312</xdr:colOff>
      <xdr:row>46</xdr:row>
      <xdr:rowOff>182562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666747</xdr:colOff>
      <xdr:row>19</xdr:row>
      <xdr:rowOff>190496</xdr:rowOff>
    </xdr:from>
    <xdr:to>
      <xdr:col>20</xdr:col>
      <xdr:colOff>125015</xdr:colOff>
      <xdr:row>45</xdr:row>
      <xdr:rowOff>63498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523875</xdr:colOff>
      <xdr:row>21</xdr:row>
      <xdr:rowOff>47623</xdr:rowOff>
    </xdr:from>
    <xdr:to>
      <xdr:col>21</xdr:col>
      <xdr:colOff>815583</xdr:colOff>
      <xdr:row>46</xdr:row>
      <xdr:rowOff>111125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15</xdr:col>
      <xdr:colOff>781049</xdr:colOff>
      <xdr:row>22</xdr:row>
      <xdr:rowOff>97350</xdr:rowOff>
    </xdr:from>
    <xdr:ext cx="1057275" cy="456728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3582649" y="4745550"/>
          <a:ext cx="1057275" cy="4567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>
              <a:solidFill>
                <a:srgbClr val="990099"/>
              </a:solidFill>
              <a:latin typeface="Agency FB" panose="020B0503020202020204" pitchFamily="34" charset="0"/>
            </a:rPr>
            <a:t>INCOME</a:t>
          </a:r>
        </a:p>
      </xdr:txBody>
    </xdr:sp>
    <xdr:clientData/>
  </xdr:oneCellAnchor>
  <xdr:oneCellAnchor>
    <xdr:from>
      <xdr:col>17</xdr:col>
      <xdr:colOff>609599</xdr:colOff>
      <xdr:row>20</xdr:row>
      <xdr:rowOff>154500</xdr:rowOff>
    </xdr:from>
    <xdr:ext cx="1228726" cy="456728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15087599" y="4402650"/>
          <a:ext cx="1228726" cy="4567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>
              <a:solidFill>
                <a:srgbClr val="990099"/>
              </a:solidFill>
              <a:latin typeface="Agency FB" panose="020B0503020202020204" pitchFamily="34" charset="0"/>
            </a:rPr>
            <a:t>SPENDING</a:t>
          </a:r>
        </a:p>
      </xdr:txBody>
    </xdr:sp>
    <xdr:clientData/>
  </xdr:oneCellAnchor>
  <xdr:oneCellAnchor>
    <xdr:from>
      <xdr:col>19</xdr:col>
      <xdr:colOff>333374</xdr:colOff>
      <xdr:row>21</xdr:row>
      <xdr:rowOff>192599</xdr:rowOff>
    </xdr:from>
    <xdr:ext cx="1495426" cy="456728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6487774" y="4640775"/>
          <a:ext cx="1495426" cy="4567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>
              <a:solidFill>
                <a:srgbClr val="990099"/>
              </a:solidFill>
              <a:latin typeface="Agency FB" panose="020B0503020202020204" pitchFamily="34" charset="0"/>
            </a:rPr>
            <a:t>WITHDRAWL</a:t>
          </a:r>
        </a:p>
      </xdr:txBody>
    </xdr:sp>
    <xdr:clientData/>
  </xdr:oneCellAnchor>
  <xdr:twoCellAnchor>
    <xdr:from>
      <xdr:col>19</xdr:col>
      <xdr:colOff>238126</xdr:colOff>
      <xdr:row>46</xdr:row>
      <xdr:rowOff>23812</xdr:rowOff>
    </xdr:from>
    <xdr:to>
      <xdr:col>34</xdr:col>
      <xdr:colOff>1309688</xdr:colOff>
      <xdr:row>68</xdr:row>
      <xdr:rowOff>11904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27</xdr:col>
      <xdr:colOff>328519</xdr:colOff>
      <xdr:row>25</xdr:row>
      <xdr:rowOff>190501</xdr:rowOff>
    </xdr:from>
    <xdr:ext cx="2508570" cy="2313975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 rot="1443521">
          <a:off x="23147698" y="5374822"/>
          <a:ext cx="2508570" cy="23139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prstTxWarp prst="textCircle">
            <a:avLst>
              <a:gd name="adj" fmla="val 7483460"/>
            </a:avLst>
          </a:prstTxWarp>
          <a:spAutoFit/>
        </a:bodyPr>
        <a:lstStyle/>
        <a:p>
          <a:r>
            <a:rPr lang="en-US" sz="1400">
              <a:solidFill>
                <a:schemeClr val="bg1"/>
              </a:solidFill>
              <a:latin typeface="Agency FB" panose="020B0503020202020204" pitchFamily="34" charset="0"/>
            </a:rPr>
            <a:t>ASSET  ACCUMULATED</a:t>
          </a:r>
        </a:p>
        <a:p>
          <a:endParaRPr lang="en-US" sz="1400">
            <a:solidFill>
              <a:schemeClr val="bg1"/>
            </a:solidFill>
            <a:latin typeface="Agency FB" panose="020B0503020202020204" pitchFamily="34" charset="0"/>
          </a:endParaRPr>
        </a:p>
      </xdr:txBody>
    </xdr:sp>
    <xdr:clientData/>
  </xdr:oneCellAnchor>
  <xdr:oneCellAnchor>
    <xdr:from>
      <xdr:col>26</xdr:col>
      <xdr:colOff>646652</xdr:colOff>
      <xdr:row>26</xdr:row>
      <xdr:rowOff>13660</xdr:rowOff>
    </xdr:from>
    <xdr:ext cx="2137907" cy="2210208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 rot="1004769">
          <a:off x="22628992" y="5395286"/>
          <a:ext cx="2137907" cy="22102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prstTxWarp prst="textCircle">
            <a:avLst>
              <a:gd name="adj" fmla="val 9068024"/>
            </a:avLst>
          </a:prstTxWarp>
          <a:spAutoFit/>
        </a:bodyPr>
        <a:lstStyle/>
        <a:p>
          <a:r>
            <a:rPr lang="en-US" sz="1400">
              <a:solidFill>
                <a:schemeClr val="bg1"/>
              </a:solidFill>
              <a:latin typeface="Agency FB" panose="020B0503020202020204" pitchFamily="34" charset="0"/>
            </a:rPr>
            <a:t>INTEREST</a:t>
          </a:r>
        </a:p>
      </xdr:txBody>
    </xdr:sp>
    <xdr:clientData/>
  </xdr:oneCellAnchor>
  <xdr:oneCellAnchor>
    <xdr:from>
      <xdr:col>27</xdr:col>
      <xdr:colOff>462642</xdr:colOff>
      <xdr:row>26</xdr:row>
      <xdr:rowOff>1</xdr:rowOff>
    </xdr:from>
    <xdr:ext cx="1932213" cy="2047875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 rot="21356899">
          <a:off x="23281821" y="5381627"/>
          <a:ext cx="1932213" cy="2047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prstTxWarp prst="textCircle">
            <a:avLst>
              <a:gd name="adj" fmla="val 7355726"/>
            </a:avLst>
          </a:prstTxWarp>
          <a:spAutoFit/>
        </a:bodyPr>
        <a:lstStyle/>
        <a:p>
          <a:r>
            <a:rPr lang="en-US" sz="1400">
              <a:solidFill>
                <a:schemeClr val="bg1"/>
              </a:solidFill>
              <a:latin typeface="Agency FB" panose="020B0503020202020204" pitchFamily="34" charset="0"/>
            </a:rPr>
            <a:t>BOB'S  CONTRIBUTION</a:t>
          </a:r>
        </a:p>
      </xdr:txBody>
    </xdr:sp>
    <xdr:clientData/>
  </xdr:oneCellAnchor>
  <xdr:oneCellAnchor>
    <xdr:from>
      <xdr:col>28</xdr:col>
      <xdr:colOff>40045</xdr:colOff>
      <xdr:row>26</xdr:row>
      <xdr:rowOff>119247</xdr:rowOff>
    </xdr:from>
    <xdr:ext cx="1345643" cy="167372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 rot="12307227">
          <a:off x="23696064" y="5500873"/>
          <a:ext cx="1345643" cy="16737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prstTxWarp prst="textCircle">
            <a:avLst>
              <a:gd name="adj" fmla="val 14049919"/>
            </a:avLst>
          </a:prstTxWarp>
          <a:spAutoFit/>
        </a:bodyPr>
        <a:lstStyle/>
        <a:p>
          <a:r>
            <a:rPr lang="en-US" sz="1050">
              <a:solidFill>
                <a:schemeClr val="bg1"/>
              </a:solidFill>
              <a:latin typeface="Agency FB" panose="020B0503020202020204" pitchFamily="34" charset="0"/>
            </a:rPr>
            <a:t>EMPLOYERS'  CONTRIBUTION</a:t>
          </a:r>
        </a:p>
      </xdr:txBody>
    </xdr:sp>
    <xdr:clientData/>
  </xdr:oneCellAnchor>
  <xdr:twoCellAnchor>
    <xdr:from>
      <xdr:col>22</xdr:col>
      <xdr:colOff>793747</xdr:colOff>
      <xdr:row>79</xdr:row>
      <xdr:rowOff>134938</xdr:rowOff>
    </xdr:from>
    <xdr:to>
      <xdr:col>27</xdr:col>
      <xdr:colOff>817109</xdr:colOff>
      <xdr:row>103</xdr:row>
      <xdr:rowOff>76342</xdr:rowOff>
    </xdr:to>
    <xdr:sp macro="" textlink="">
      <xdr:nvSpPr>
        <xdr:cNvPr id="51" name="Block Arc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 rot="280251">
          <a:off x="19343687" y="16827503"/>
          <a:ext cx="4190547" cy="4513404"/>
        </a:xfrm>
        <a:prstGeom prst="blockArc">
          <a:avLst>
            <a:gd name="adj1" fmla="val 10869969"/>
            <a:gd name="adj2" fmla="val 410866"/>
            <a:gd name="adj3" fmla="val 11357"/>
          </a:avLst>
        </a:prstGeom>
        <a:solidFill>
          <a:srgbClr val="00B0F0">
            <a:alpha val="56000"/>
          </a:srgbClr>
        </a:solidFill>
        <a:ln w="19050">
          <a:solidFill>
            <a:srgbClr val="00B0F0"/>
          </a:solidFill>
        </a:ln>
        <a:scene3d>
          <a:camera prst="orthographicFront">
            <a:rot lat="2415280" lon="20852067" rev="21467997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8809</xdr:colOff>
      <xdr:row>89</xdr:row>
      <xdr:rowOff>181081</xdr:rowOff>
    </xdr:from>
    <xdr:to>
      <xdr:col>23</xdr:col>
      <xdr:colOff>523387</xdr:colOff>
      <xdr:row>90</xdr:row>
      <xdr:rowOff>40246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/>
      </xdr:nvCxnSpPr>
      <xdr:spPr>
        <a:xfrm>
          <a:off x="19392184" y="18778646"/>
          <a:ext cx="514578" cy="4966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741882</xdr:colOff>
      <xdr:row>78</xdr:row>
      <xdr:rowOff>121897</xdr:rowOff>
    </xdr:from>
    <xdr:to>
      <xdr:col>34</xdr:col>
      <xdr:colOff>1368491</xdr:colOff>
      <xdr:row>102</xdr:row>
      <xdr:rowOff>62848</xdr:rowOff>
    </xdr:to>
    <xdr:sp macro="" textlink="">
      <xdr:nvSpPr>
        <xdr:cNvPr id="54" name="Block Arc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 rot="358144">
          <a:off x="26335558" y="17171647"/>
          <a:ext cx="4255633" cy="5036827"/>
        </a:xfrm>
        <a:prstGeom prst="blockArc">
          <a:avLst>
            <a:gd name="adj1" fmla="val 10869969"/>
            <a:gd name="adj2" fmla="val 325049"/>
            <a:gd name="adj3" fmla="val 10114"/>
          </a:avLst>
        </a:prstGeom>
        <a:solidFill>
          <a:srgbClr val="00B0F0">
            <a:alpha val="56000"/>
          </a:srgbClr>
        </a:solidFill>
        <a:ln w="19050">
          <a:solidFill>
            <a:srgbClr val="00B0F0"/>
          </a:solidFill>
        </a:ln>
        <a:scene3d>
          <a:camera prst="orthographicFront">
            <a:rot lat="2415280" lon="20852067" rev="21467997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786688</xdr:colOff>
      <xdr:row>89</xdr:row>
      <xdr:rowOff>93768</xdr:rowOff>
    </xdr:from>
    <xdr:to>
      <xdr:col>31</xdr:col>
      <xdr:colOff>385048</xdr:colOff>
      <xdr:row>89</xdr:row>
      <xdr:rowOff>144568</xdr:rowOff>
    </xdr:to>
    <xdr:cxnSp macro="">
      <xdr:nvCxnSpPr>
        <xdr:cNvPr id="55" name="Straight Connector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CxnSpPr/>
      </xdr:nvCxnSpPr>
      <xdr:spPr>
        <a:xfrm>
          <a:off x="26313688" y="18691333"/>
          <a:ext cx="527050" cy="5080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222250</xdr:colOff>
      <xdr:row>90</xdr:row>
      <xdr:rowOff>261111</xdr:rowOff>
    </xdr:from>
    <xdr:to>
      <xdr:col>27</xdr:col>
      <xdr:colOff>727604</xdr:colOff>
      <xdr:row>90</xdr:row>
      <xdr:rowOff>261111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CxnSpPr>
          <a:endCxn id="96" idx="2"/>
        </xdr:cNvCxnSpPr>
      </xdr:nvCxnSpPr>
      <xdr:spPr>
        <a:xfrm>
          <a:off x="23041429" y="19460790"/>
          <a:ext cx="505354" cy="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650875</xdr:colOff>
      <xdr:row>82</xdr:row>
      <xdr:rowOff>31751</xdr:rowOff>
    </xdr:from>
    <xdr:to>
      <xdr:col>25</xdr:col>
      <xdr:colOff>693209</xdr:colOff>
      <xdr:row>83</xdr:row>
      <xdr:rowOff>127001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CxnSpPr/>
      </xdr:nvCxnSpPr>
      <xdr:spPr>
        <a:xfrm flipH="1">
          <a:off x="21775208" y="17907001"/>
          <a:ext cx="42334" cy="29633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343958</xdr:colOff>
      <xdr:row>83</xdr:row>
      <xdr:rowOff>20485</xdr:rowOff>
    </xdr:from>
    <xdr:to>
      <xdr:col>26</xdr:col>
      <xdr:colOff>502311</xdr:colOff>
      <xdr:row>84</xdr:row>
      <xdr:rowOff>31750</xdr:rowOff>
    </xdr:to>
    <xdr:cxnSp macro="">
      <xdr:nvCxnSpPr>
        <xdr:cNvPr id="59" name="Straight Connector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CxnSpPr/>
      </xdr:nvCxnSpPr>
      <xdr:spPr>
        <a:xfrm flipH="1">
          <a:off x="22304375" y="18096818"/>
          <a:ext cx="158353" cy="21234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128193</xdr:colOff>
      <xdr:row>86</xdr:row>
      <xdr:rowOff>126059</xdr:rowOff>
    </xdr:from>
    <xdr:to>
      <xdr:col>27</xdr:col>
      <xdr:colOff>405611</xdr:colOff>
      <xdr:row>87</xdr:row>
      <xdr:rowOff>65333</xdr:rowOff>
    </xdr:to>
    <xdr:cxnSp macro="">
      <xdr:nvCxnSpPr>
        <xdr:cNvPr id="60" name="Straight Connector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CxnSpPr/>
      </xdr:nvCxnSpPr>
      <xdr:spPr>
        <a:xfrm flipH="1">
          <a:off x="22924693" y="18805642"/>
          <a:ext cx="277418" cy="14035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830792</xdr:colOff>
      <xdr:row>84</xdr:row>
      <xdr:rowOff>144314</xdr:rowOff>
    </xdr:from>
    <xdr:to>
      <xdr:col>24</xdr:col>
      <xdr:colOff>247486</xdr:colOff>
      <xdr:row>85</xdr:row>
      <xdr:rowOff>177055</xdr:rowOff>
    </xdr:to>
    <xdr:cxnSp macro="">
      <xdr:nvCxnSpPr>
        <xdr:cNvPr id="61" name="Straight Connector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20282959" y="18421731"/>
          <a:ext cx="252777" cy="23382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802879</xdr:colOff>
      <xdr:row>90</xdr:row>
      <xdr:rowOff>54486</xdr:rowOff>
    </xdr:from>
    <xdr:to>
      <xdr:col>34</xdr:col>
      <xdr:colOff>1345804</xdr:colOff>
      <xdr:row>90</xdr:row>
      <xdr:rowOff>78299</xdr:rowOff>
    </xdr:to>
    <xdr:cxnSp macro="">
      <xdr:nvCxnSpPr>
        <xdr:cNvPr id="62" name="Straight Connector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 flipV="1">
          <a:off x="30018171" y="19538403"/>
          <a:ext cx="542925" cy="2381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435774</xdr:colOff>
      <xdr:row>82</xdr:row>
      <xdr:rowOff>71439</xdr:rowOff>
    </xdr:from>
    <xdr:to>
      <xdr:col>32</xdr:col>
      <xdr:colOff>539750</xdr:colOff>
      <xdr:row>83</xdr:row>
      <xdr:rowOff>166688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>
          <a:off x="27931274" y="17764127"/>
          <a:ext cx="103976" cy="29368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132291</xdr:colOff>
      <xdr:row>82</xdr:row>
      <xdr:rowOff>76731</xdr:rowOff>
    </xdr:from>
    <xdr:to>
      <xdr:col>34</xdr:col>
      <xdr:colOff>296200</xdr:colOff>
      <xdr:row>83</xdr:row>
      <xdr:rowOff>152911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 flipH="1">
          <a:off x="29289374" y="17962564"/>
          <a:ext cx="163909" cy="27726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650875</xdr:colOff>
      <xdr:row>85</xdr:row>
      <xdr:rowOff>57972</xdr:rowOff>
    </xdr:from>
    <xdr:to>
      <xdr:col>34</xdr:col>
      <xdr:colOff>937423</xdr:colOff>
      <xdr:row>86</xdr:row>
      <xdr:rowOff>44363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 flipH="1">
          <a:off x="29859288" y="18460272"/>
          <a:ext cx="286548" cy="18641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591244</xdr:colOff>
      <xdr:row>84</xdr:row>
      <xdr:rowOff>132291</xdr:rowOff>
    </xdr:from>
    <xdr:to>
      <xdr:col>32</xdr:col>
      <xdr:colOff>0</xdr:colOff>
      <xdr:row>85</xdr:row>
      <xdr:rowOff>165034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>
          <a:off x="27044286" y="18420291"/>
          <a:ext cx="244840" cy="23382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767291</xdr:colOff>
      <xdr:row>82</xdr:row>
      <xdr:rowOff>142874</xdr:rowOff>
    </xdr:from>
    <xdr:to>
      <xdr:col>25</xdr:col>
      <xdr:colOff>42334</xdr:colOff>
      <xdr:row>84</xdr:row>
      <xdr:rowOff>10582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>
          <a:off x="21055541" y="18018124"/>
          <a:ext cx="111126" cy="26987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740833</xdr:colOff>
      <xdr:row>84</xdr:row>
      <xdr:rowOff>132291</xdr:rowOff>
    </xdr:from>
    <xdr:to>
      <xdr:col>27</xdr:col>
      <xdr:colOff>100542</xdr:colOff>
      <xdr:row>85</xdr:row>
      <xdr:rowOff>121708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22701250" y="18409708"/>
          <a:ext cx="195792" cy="19050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222250</xdr:colOff>
      <xdr:row>88</xdr:row>
      <xdr:rowOff>132292</xdr:rowOff>
    </xdr:from>
    <xdr:to>
      <xdr:col>27</xdr:col>
      <xdr:colOff>481145</xdr:colOff>
      <xdr:row>89</xdr:row>
      <xdr:rowOff>10584</xdr:rowOff>
    </xdr:to>
    <xdr:cxnSp macro="">
      <xdr:nvCxnSpPr>
        <xdr:cNvPr id="77" name="Straight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 flipH="1">
          <a:off x="23018750" y="19214042"/>
          <a:ext cx="258895" cy="7937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22</xdr:col>
      <xdr:colOff>783167</xdr:colOff>
      <xdr:row>89</xdr:row>
      <xdr:rowOff>1</xdr:rowOff>
    </xdr:from>
    <xdr:ext cx="365125" cy="304955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9399250" y="19282834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0</a:t>
          </a:r>
        </a:p>
      </xdr:txBody>
    </xdr:sp>
    <xdr:clientData/>
  </xdr:oneCellAnchor>
  <xdr:oneCellAnchor>
    <xdr:from>
      <xdr:col>23</xdr:col>
      <xdr:colOff>639233</xdr:colOff>
      <xdr:row>83</xdr:row>
      <xdr:rowOff>200026</xdr:rowOff>
    </xdr:from>
    <xdr:ext cx="365125" cy="304955"/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 txBox="1"/>
      </xdr:nvSpPr>
      <xdr:spPr>
        <a:xfrm>
          <a:off x="20091400" y="18276359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1</a:t>
          </a:r>
        </a:p>
      </xdr:txBody>
    </xdr:sp>
    <xdr:clientData/>
  </xdr:oneCellAnchor>
  <xdr:oneCellAnchor>
    <xdr:from>
      <xdr:col>24</xdr:col>
      <xdr:colOff>571500</xdr:colOff>
      <xdr:row>81</xdr:row>
      <xdr:rowOff>142874</xdr:rowOff>
    </xdr:from>
    <xdr:ext cx="365125" cy="517578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 txBox="1"/>
      </xdr:nvSpPr>
      <xdr:spPr>
        <a:xfrm>
          <a:off x="20859750" y="17817041"/>
          <a:ext cx="365125" cy="51757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2</a:t>
          </a:r>
        </a:p>
        <a:p>
          <a:endParaRPr lang="en-US" sz="1400">
            <a:solidFill>
              <a:schemeClr val="accent5">
                <a:lumMod val="40000"/>
                <a:lumOff val="60000"/>
              </a:schemeClr>
            </a:solidFill>
            <a:latin typeface="Agency FB" panose="020B0503020202020204" pitchFamily="34" charset="0"/>
          </a:endParaRPr>
        </a:p>
      </xdr:txBody>
    </xdr:sp>
    <xdr:clientData/>
  </xdr:oneCellAnchor>
  <xdr:oneCellAnchor>
    <xdr:from>
      <xdr:col>25</xdr:col>
      <xdr:colOff>508000</xdr:colOff>
      <xdr:row>80</xdr:row>
      <xdr:rowOff>195792</xdr:rowOff>
    </xdr:from>
    <xdr:ext cx="365125" cy="304955"/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 txBox="1"/>
      </xdr:nvSpPr>
      <xdr:spPr>
        <a:xfrm>
          <a:off x="21632333" y="17668875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3</a:t>
          </a:r>
        </a:p>
      </xdr:txBody>
    </xdr:sp>
    <xdr:clientData/>
  </xdr:oneCellAnchor>
  <xdr:oneCellAnchor>
    <xdr:from>
      <xdr:col>26</xdr:col>
      <xdr:colOff>423333</xdr:colOff>
      <xdr:row>81</xdr:row>
      <xdr:rowOff>142875</xdr:rowOff>
    </xdr:from>
    <xdr:ext cx="365125" cy="304955"/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 txBox="1"/>
      </xdr:nvSpPr>
      <xdr:spPr>
        <a:xfrm>
          <a:off x="22383750" y="17817042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4</a:t>
          </a:r>
        </a:p>
      </xdr:txBody>
    </xdr:sp>
    <xdr:clientData/>
  </xdr:oneCellAnchor>
  <xdr:oneCellAnchor>
    <xdr:from>
      <xdr:col>27</xdr:col>
      <xdr:colOff>100542</xdr:colOff>
      <xdr:row>83</xdr:row>
      <xdr:rowOff>84667</xdr:rowOff>
    </xdr:from>
    <xdr:ext cx="365125" cy="30495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 txBox="1"/>
      </xdr:nvSpPr>
      <xdr:spPr>
        <a:xfrm>
          <a:off x="22897042" y="18161000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5</a:t>
          </a:r>
        </a:p>
      </xdr:txBody>
    </xdr:sp>
    <xdr:clientData/>
  </xdr:oneCellAnchor>
  <xdr:oneCellAnchor>
    <xdr:from>
      <xdr:col>27</xdr:col>
      <xdr:colOff>407458</xdr:colOff>
      <xdr:row>85</xdr:row>
      <xdr:rowOff>84667</xdr:rowOff>
    </xdr:from>
    <xdr:ext cx="365125" cy="304955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 txBox="1"/>
      </xdr:nvSpPr>
      <xdr:spPr>
        <a:xfrm>
          <a:off x="23203958" y="18563167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6</a:t>
          </a:r>
        </a:p>
      </xdr:txBody>
    </xdr:sp>
    <xdr:clientData/>
  </xdr:oneCellAnchor>
  <xdr:oneCellAnchor>
    <xdr:from>
      <xdr:col>27</xdr:col>
      <xdr:colOff>545041</xdr:colOff>
      <xdr:row>87</xdr:row>
      <xdr:rowOff>100541</xdr:rowOff>
    </xdr:from>
    <xdr:ext cx="365125" cy="304955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 txBox="1"/>
      </xdr:nvSpPr>
      <xdr:spPr>
        <a:xfrm>
          <a:off x="23341541" y="18981208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7</a:t>
          </a:r>
        </a:p>
      </xdr:txBody>
    </xdr:sp>
    <xdr:clientData/>
  </xdr:oneCellAnchor>
  <xdr:oneCellAnchor>
    <xdr:from>
      <xdr:col>27</xdr:col>
      <xdr:colOff>545041</xdr:colOff>
      <xdr:row>89</xdr:row>
      <xdr:rowOff>153459</xdr:rowOff>
    </xdr:from>
    <xdr:ext cx="365125" cy="304955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 txBox="1"/>
      </xdr:nvSpPr>
      <xdr:spPr>
        <a:xfrm>
          <a:off x="23341541" y="19436292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8</a:t>
          </a:r>
        </a:p>
      </xdr:txBody>
    </xdr:sp>
    <xdr:clientData/>
  </xdr:oneCellAnchor>
  <xdr:oneCellAnchor>
    <xdr:from>
      <xdr:col>14</xdr:col>
      <xdr:colOff>640291</xdr:colOff>
      <xdr:row>88</xdr:row>
      <xdr:rowOff>121708</xdr:rowOff>
    </xdr:from>
    <xdr:ext cx="365125" cy="517578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 txBox="1"/>
      </xdr:nvSpPr>
      <xdr:spPr>
        <a:xfrm>
          <a:off x="12567708" y="19203458"/>
          <a:ext cx="365125" cy="51757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47</a:t>
          </a:r>
        </a:p>
        <a:p>
          <a:endParaRPr lang="en-US" sz="1400">
            <a:solidFill>
              <a:schemeClr val="accent5">
                <a:lumMod val="40000"/>
                <a:lumOff val="60000"/>
              </a:schemeClr>
            </a:solidFill>
            <a:latin typeface="Agency FB" panose="020B0503020202020204" pitchFamily="34" charset="0"/>
          </a:endParaRPr>
        </a:p>
      </xdr:txBody>
    </xdr:sp>
    <xdr:clientData/>
  </xdr:oneCellAnchor>
  <xdr:oneCellAnchor>
    <xdr:from>
      <xdr:col>15</xdr:col>
      <xdr:colOff>190499</xdr:colOff>
      <xdr:row>84</xdr:row>
      <xdr:rowOff>190499</xdr:rowOff>
    </xdr:from>
    <xdr:ext cx="365125" cy="304955"/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 txBox="1"/>
      </xdr:nvSpPr>
      <xdr:spPr>
        <a:xfrm>
          <a:off x="12953999" y="18467916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50</a:t>
          </a:r>
        </a:p>
      </xdr:txBody>
    </xdr:sp>
    <xdr:clientData/>
  </xdr:oneCellAnchor>
  <xdr:oneCellAnchor>
    <xdr:from>
      <xdr:col>16</xdr:col>
      <xdr:colOff>783167</xdr:colOff>
      <xdr:row>80</xdr:row>
      <xdr:rowOff>179916</xdr:rowOff>
    </xdr:from>
    <xdr:ext cx="365125" cy="304955"/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 txBox="1"/>
      </xdr:nvSpPr>
      <xdr:spPr>
        <a:xfrm>
          <a:off x="14382750" y="17652999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60</a:t>
          </a:r>
        </a:p>
      </xdr:txBody>
    </xdr:sp>
    <xdr:clientData/>
  </xdr:oneCellAnchor>
  <xdr:oneCellAnchor>
    <xdr:from>
      <xdr:col>18</xdr:col>
      <xdr:colOff>411693</xdr:colOff>
      <xdr:row>81</xdr:row>
      <xdr:rowOff>200025</xdr:rowOff>
    </xdr:from>
    <xdr:ext cx="365125" cy="304955"/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 txBox="1"/>
      </xdr:nvSpPr>
      <xdr:spPr>
        <a:xfrm>
          <a:off x="15683443" y="17874192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70</a:t>
          </a:r>
        </a:p>
      </xdr:txBody>
    </xdr:sp>
    <xdr:clientData/>
  </xdr:oneCellAnchor>
  <xdr:oneCellAnchor>
    <xdr:from>
      <xdr:col>19</xdr:col>
      <xdr:colOff>238126</xdr:colOff>
      <xdr:row>85</xdr:row>
      <xdr:rowOff>121707</xdr:rowOff>
    </xdr:from>
    <xdr:ext cx="365125" cy="304955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 txBox="1"/>
      </xdr:nvSpPr>
      <xdr:spPr>
        <a:xfrm>
          <a:off x="16345959" y="18600207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80</a:t>
          </a:r>
        </a:p>
      </xdr:txBody>
    </xdr:sp>
    <xdr:clientData/>
  </xdr:oneCellAnchor>
  <xdr:oneCellAnchor>
    <xdr:from>
      <xdr:col>19</xdr:col>
      <xdr:colOff>322792</xdr:colOff>
      <xdr:row>88</xdr:row>
      <xdr:rowOff>174625</xdr:rowOff>
    </xdr:from>
    <xdr:ext cx="365125" cy="304955"/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 txBox="1"/>
      </xdr:nvSpPr>
      <xdr:spPr>
        <a:xfrm>
          <a:off x="16430625" y="19256375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90</a:t>
          </a:r>
        </a:p>
      </xdr:txBody>
    </xdr:sp>
    <xdr:clientData/>
  </xdr:oneCellAnchor>
  <xdr:oneCellAnchor>
    <xdr:from>
      <xdr:col>19</xdr:col>
      <xdr:colOff>343958</xdr:colOff>
      <xdr:row>87</xdr:row>
      <xdr:rowOff>79374</xdr:rowOff>
    </xdr:from>
    <xdr:ext cx="365125" cy="259302"/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 txBox="1"/>
      </xdr:nvSpPr>
      <xdr:spPr>
        <a:xfrm>
          <a:off x="16451791" y="18960041"/>
          <a:ext cx="365125" cy="2593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5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85</a:t>
          </a:r>
        </a:p>
      </xdr:txBody>
    </xdr:sp>
    <xdr:clientData/>
  </xdr:oneCellAnchor>
  <xdr:twoCellAnchor>
    <xdr:from>
      <xdr:col>19</xdr:col>
      <xdr:colOff>142875</xdr:colOff>
      <xdr:row>88</xdr:row>
      <xdr:rowOff>63498</xdr:rowOff>
    </xdr:from>
    <xdr:to>
      <xdr:col>19</xdr:col>
      <xdr:colOff>455084</xdr:colOff>
      <xdr:row>88</xdr:row>
      <xdr:rowOff>148167</xdr:rowOff>
    </xdr:to>
    <xdr:cxnSp macro="">
      <xdr:nvCxnSpPr>
        <xdr:cNvPr id="104" name="Straight Connector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CxnSpPr/>
      </xdr:nvCxnSpPr>
      <xdr:spPr>
        <a:xfrm flipH="1">
          <a:off x="16250708" y="19145248"/>
          <a:ext cx="312209" cy="8466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19</xdr:col>
      <xdr:colOff>5292</xdr:colOff>
      <xdr:row>83</xdr:row>
      <xdr:rowOff>153459</xdr:rowOff>
    </xdr:from>
    <xdr:ext cx="365125" cy="259302"/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16113125" y="18229792"/>
          <a:ext cx="365125" cy="2593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5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75</a:t>
          </a:r>
        </a:p>
      </xdr:txBody>
    </xdr:sp>
    <xdr:clientData/>
  </xdr:oneCellAnchor>
  <xdr:twoCellAnchor>
    <xdr:from>
      <xdr:col>18</xdr:col>
      <xdr:colOff>677333</xdr:colOff>
      <xdr:row>84</xdr:row>
      <xdr:rowOff>105834</xdr:rowOff>
    </xdr:from>
    <xdr:to>
      <xdr:col>19</xdr:col>
      <xdr:colOff>63501</xdr:colOff>
      <xdr:row>85</xdr:row>
      <xdr:rowOff>121709</xdr:rowOff>
    </xdr:to>
    <xdr:cxnSp macro="">
      <xdr:nvCxnSpPr>
        <xdr:cNvPr id="112" name="Straight Connector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CxnSpPr/>
      </xdr:nvCxnSpPr>
      <xdr:spPr>
        <a:xfrm flipH="1">
          <a:off x="15949083" y="18383251"/>
          <a:ext cx="222251" cy="21695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285750</xdr:colOff>
      <xdr:row>83</xdr:row>
      <xdr:rowOff>10584</xdr:rowOff>
    </xdr:from>
    <xdr:to>
      <xdr:col>16</xdr:col>
      <xdr:colOff>428625</xdr:colOff>
      <xdr:row>84</xdr:row>
      <xdr:rowOff>84666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CxnSpPr/>
      </xdr:nvCxnSpPr>
      <xdr:spPr>
        <a:xfrm>
          <a:off x="13885333" y="18086917"/>
          <a:ext cx="142875" cy="27516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735541</xdr:colOff>
      <xdr:row>81</xdr:row>
      <xdr:rowOff>190500</xdr:rowOff>
    </xdr:from>
    <xdr:to>
      <xdr:col>17</xdr:col>
      <xdr:colOff>830792</xdr:colOff>
      <xdr:row>83</xdr:row>
      <xdr:rowOff>52917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/>
      </xdr:nvCxnSpPr>
      <xdr:spPr>
        <a:xfrm flipH="1">
          <a:off x="15171208" y="17864667"/>
          <a:ext cx="95251" cy="26458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709084</xdr:colOff>
      <xdr:row>81</xdr:row>
      <xdr:rowOff>5291</xdr:rowOff>
    </xdr:from>
    <xdr:ext cx="365125" cy="251736"/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15144751" y="17679458"/>
          <a:ext cx="365125" cy="2517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5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65</a:t>
          </a:r>
        </a:p>
      </xdr:txBody>
    </xdr:sp>
    <xdr:clientData/>
  </xdr:oneCellAnchor>
  <xdr:oneCellAnchor>
    <xdr:from>
      <xdr:col>16</xdr:col>
      <xdr:colOff>84667</xdr:colOff>
      <xdr:row>82</xdr:row>
      <xdr:rowOff>21167</xdr:rowOff>
    </xdr:from>
    <xdr:ext cx="365125" cy="251736"/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 txBox="1"/>
      </xdr:nvSpPr>
      <xdr:spPr>
        <a:xfrm>
          <a:off x="13684250" y="17896417"/>
          <a:ext cx="365125" cy="2517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5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55</a:t>
          </a:r>
        </a:p>
      </xdr:txBody>
    </xdr:sp>
    <xdr:clientData/>
  </xdr:oneCellAnchor>
  <xdr:twoCellAnchor>
    <xdr:from>
      <xdr:col>22</xdr:col>
      <xdr:colOff>666749</xdr:colOff>
      <xdr:row>82</xdr:row>
      <xdr:rowOff>47625</xdr:rowOff>
    </xdr:from>
    <xdr:to>
      <xdr:col>28</xdr:col>
      <xdr:colOff>200022</xdr:colOff>
      <xdr:row>99</xdr:row>
      <xdr:rowOff>114300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992187</xdr:colOff>
      <xdr:row>81</xdr:row>
      <xdr:rowOff>58894</xdr:rowOff>
    </xdr:from>
    <xdr:to>
      <xdr:col>33</xdr:col>
      <xdr:colOff>10584</xdr:colOff>
      <xdr:row>82</xdr:row>
      <xdr:rowOff>158220</xdr:rowOff>
    </xdr:to>
    <xdr:cxnSp macro="">
      <xdr:nvCxnSpPr>
        <xdr:cNvPr id="128" name="Straight Connector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CxnSpPr/>
      </xdr:nvCxnSpPr>
      <xdr:spPr>
        <a:xfrm>
          <a:off x="28281313" y="17743644"/>
          <a:ext cx="39688" cy="30040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545712</xdr:colOff>
      <xdr:row>81</xdr:row>
      <xdr:rowOff>113924</xdr:rowOff>
    </xdr:from>
    <xdr:to>
      <xdr:col>33</xdr:col>
      <xdr:colOff>625087</xdr:colOff>
      <xdr:row>83</xdr:row>
      <xdr:rowOff>2800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CxnSpPr/>
      </xdr:nvCxnSpPr>
      <xdr:spPr>
        <a:xfrm flipH="1">
          <a:off x="28856129" y="17798674"/>
          <a:ext cx="79375" cy="29104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383647</xdr:colOff>
      <xdr:row>83</xdr:row>
      <xdr:rowOff>153459</xdr:rowOff>
    </xdr:from>
    <xdr:to>
      <xdr:col>34</xdr:col>
      <xdr:colOff>669397</xdr:colOff>
      <xdr:row>85</xdr:row>
      <xdr:rowOff>10584</xdr:rowOff>
    </xdr:to>
    <xdr:cxnSp macro="">
      <xdr:nvCxnSpPr>
        <xdr:cNvPr id="137" name="Straight Connector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/>
      </xdr:nvCxnSpPr>
      <xdr:spPr>
        <a:xfrm flipH="1">
          <a:off x="29540730" y="18240376"/>
          <a:ext cx="285750" cy="25929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762000</xdr:colOff>
      <xdr:row>87</xdr:row>
      <xdr:rowOff>55563</xdr:rowOff>
    </xdr:from>
    <xdr:to>
      <xdr:col>34</xdr:col>
      <xdr:colOff>1071563</xdr:colOff>
      <xdr:row>87</xdr:row>
      <xdr:rowOff>182563</xdr:rowOff>
    </xdr:to>
    <xdr:cxnSp macro="">
      <xdr:nvCxnSpPr>
        <xdr:cNvPr id="141" name="Straight Connector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H="1">
          <a:off x="30114875" y="18740438"/>
          <a:ext cx="309563" cy="12700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793755</xdr:colOff>
      <xdr:row>88</xdr:row>
      <xdr:rowOff>158748</xdr:rowOff>
    </xdr:from>
    <xdr:to>
      <xdr:col>34</xdr:col>
      <xdr:colOff>1132420</xdr:colOff>
      <xdr:row>89</xdr:row>
      <xdr:rowOff>29103</xdr:rowOff>
    </xdr:to>
    <xdr:cxnSp macro="">
      <xdr:nvCxnSpPr>
        <xdr:cNvPr id="143" name="Straight Connector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/>
      </xdr:nvCxnSpPr>
      <xdr:spPr>
        <a:xfrm flipH="1">
          <a:off x="30009047" y="19240498"/>
          <a:ext cx="338665" cy="7143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30</xdr:col>
      <xdr:colOff>777875</xdr:colOff>
      <xdr:row>88</xdr:row>
      <xdr:rowOff>52917</xdr:rowOff>
    </xdr:from>
    <xdr:ext cx="365125" cy="304955"/>
    <xdr:sp macro="" textlink="">
      <xdr:nvSpPr>
        <xdr:cNvPr id="147" name="TextBox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SpPr txBox="1"/>
      </xdr:nvSpPr>
      <xdr:spPr>
        <a:xfrm>
          <a:off x="26373667" y="19134667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0</a:t>
          </a:r>
        </a:p>
      </xdr:txBody>
    </xdr:sp>
    <xdr:clientData/>
  </xdr:oneCellAnchor>
  <xdr:oneCellAnchor>
    <xdr:from>
      <xdr:col>31</xdr:col>
      <xdr:colOff>373042</xdr:colOff>
      <xdr:row>83</xdr:row>
      <xdr:rowOff>152911</xdr:rowOff>
    </xdr:from>
    <xdr:ext cx="365125" cy="304955"/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SpPr txBox="1"/>
      </xdr:nvSpPr>
      <xdr:spPr>
        <a:xfrm>
          <a:off x="26826084" y="18239828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10</a:t>
          </a:r>
        </a:p>
      </xdr:txBody>
    </xdr:sp>
    <xdr:clientData/>
  </xdr:oneCellAnchor>
  <xdr:oneCellAnchor>
    <xdr:from>
      <xdr:col>32</xdr:col>
      <xdr:colOff>149763</xdr:colOff>
      <xdr:row>81</xdr:row>
      <xdr:rowOff>97212</xdr:rowOff>
    </xdr:from>
    <xdr:ext cx="365125" cy="304955"/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SpPr txBox="1"/>
      </xdr:nvSpPr>
      <xdr:spPr>
        <a:xfrm>
          <a:off x="27438889" y="17781962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20</a:t>
          </a:r>
        </a:p>
      </xdr:txBody>
    </xdr:sp>
    <xdr:clientData/>
  </xdr:oneCellAnchor>
  <xdr:oneCellAnchor>
    <xdr:from>
      <xdr:col>32</xdr:col>
      <xdr:colOff>735545</xdr:colOff>
      <xdr:row>80</xdr:row>
      <xdr:rowOff>97212</xdr:rowOff>
    </xdr:from>
    <xdr:ext cx="365125" cy="304955"/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SpPr txBox="1"/>
      </xdr:nvSpPr>
      <xdr:spPr>
        <a:xfrm>
          <a:off x="28024671" y="17580879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30</a:t>
          </a:r>
        </a:p>
      </xdr:txBody>
    </xdr:sp>
    <xdr:clientData/>
  </xdr:oneCellAnchor>
  <xdr:oneCellAnchor>
    <xdr:from>
      <xdr:col>33</xdr:col>
      <xdr:colOff>468982</xdr:colOff>
      <xdr:row>80</xdr:row>
      <xdr:rowOff>39003</xdr:rowOff>
    </xdr:from>
    <xdr:ext cx="365125" cy="304955"/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SpPr txBox="1"/>
      </xdr:nvSpPr>
      <xdr:spPr>
        <a:xfrm>
          <a:off x="28779399" y="17522670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40</a:t>
          </a:r>
        </a:p>
      </xdr:txBody>
    </xdr:sp>
    <xdr:clientData/>
  </xdr:oneCellAnchor>
  <xdr:oneCellAnchor>
    <xdr:from>
      <xdr:col>34</xdr:col>
      <xdr:colOff>171980</xdr:colOff>
      <xdr:row>81</xdr:row>
      <xdr:rowOff>39002</xdr:rowOff>
    </xdr:from>
    <xdr:ext cx="365125" cy="304955"/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 txBox="1"/>
      </xdr:nvSpPr>
      <xdr:spPr>
        <a:xfrm>
          <a:off x="29329063" y="17723752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50</a:t>
          </a:r>
        </a:p>
      </xdr:txBody>
    </xdr:sp>
    <xdr:clientData/>
  </xdr:oneCellAnchor>
  <xdr:oneCellAnchor>
    <xdr:from>
      <xdr:col>34</xdr:col>
      <xdr:colOff>587375</xdr:colOff>
      <xdr:row>82</xdr:row>
      <xdr:rowOff>158220</xdr:rowOff>
    </xdr:from>
    <xdr:ext cx="365125" cy="304955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29744458" y="18044053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60</a:t>
          </a:r>
        </a:p>
      </xdr:txBody>
    </xdr:sp>
    <xdr:clientData/>
  </xdr:oneCellAnchor>
  <xdr:oneCellAnchor>
    <xdr:from>
      <xdr:col>34</xdr:col>
      <xdr:colOff>862541</xdr:colOff>
      <xdr:row>84</xdr:row>
      <xdr:rowOff>105833</xdr:rowOff>
    </xdr:from>
    <xdr:ext cx="365125" cy="304955"/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 txBox="1"/>
      </xdr:nvSpPr>
      <xdr:spPr>
        <a:xfrm>
          <a:off x="30077833" y="18383250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70</a:t>
          </a:r>
        </a:p>
      </xdr:txBody>
    </xdr:sp>
    <xdr:clientData/>
  </xdr:oneCellAnchor>
  <xdr:oneCellAnchor>
    <xdr:from>
      <xdr:col>34</xdr:col>
      <xdr:colOff>994834</xdr:colOff>
      <xdr:row>86</xdr:row>
      <xdr:rowOff>26459</xdr:rowOff>
    </xdr:from>
    <xdr:ext cx="365125" cy="304955"/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 txBox="1"/>
      </xdr:nvSpPr>
      <xdr:spPr>
        <a:xfrm>
          <a:off x="30210126" y="18706042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80</a:t>
          </a:r>
        </a:p>
      </xdr:txBody>
    </xdr:sp>
    <xdr:clientData/>
  </xdr:oneCellAnchor>
  <xdr:oneCellAnchor>
    <xdr:from>
      <xdr:col>34</xdr:col>
      <xdr:colOff>1068917</xdr:colOff>
      <xdr:row>87</xdr:row>
      <xdr:rowOff>174625</xdr:rowOff>
    </xdr:from>
    <xdr:ext cx="365125" cy="304955"/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 txBox="1"/>
      </xdr:nvSpPr>
      <xdr:spPr>
        <a:xfrm>
          <a:off x="30284209" y="19055292"/>
          <a:ext cx="365125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90</a:t>
          </a:r>
        </a:p>
      </xdr:txBody>
    </xdr:sp>
    <xdr:clientData/>
  </xdr:oneCellAnchor>
  <xdr:oneCellAnchor>
    <xdr:from>
      <xdr:col>34</xdr:col>
      <xdr:colOff>978958</xdr:colOff>
      <xdr:row>89</xdr:row>
      <xdr:rowOff>74084</xdr:rowOff>
    </xdr:from>
    <xdr:ext cx="433917" cy="304955"/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 txBox="1"/>
      </xdr:nvSpPr>
      <xdr:spPr>
        <a:xfrm>
          <a:off x="30194250" y="19356917"/>
          <a:ext cx="433917" cy="304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>
              <a:solidFill>
                <a:schemeClr val="accent5">
                  <a:lumMod val="40000"/>
                  <a:lumOff val="60000"/>
                </a:schemeClr>
              </a:solidFill>
              <a:latin typeface="Agency FB" panose="020B0503020202020204" pitchFamily="34" charset="0"/>
            </a:rPr>
            <a:t>100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91</xdr:row>
          <xdr:rowOff>166688</xdr:rowOff>
        </xdr:from>
        <xdr:to>
          <xdr:col>18</xdr:col>
          <xdr:colOff>771525</xdr:colOff>
          <xdr:row>95</xdr:row>
          <xdr:rowOff>166688</xdr:rowOff>
        </xdr:to>
        <xdr:sp macro="" textlink="">
          <xdr:nvSpPr>
            <xdr:cNvPr id="4103" name="Scroll Bar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15</xdr:col>
      <xdr:colOff>649655</xdr:colOff>
      <xdr:row>91</xdr:row>
      <xdr:rowOff>129528</xdr:rowOff>
    </xdr:from>
    <xdr:to>
      <xdr:col>16</xdr:col>
      <xdr:colOff>311947</xdr:colOff>
      <xdr:row>94</xdr:row>
      <xdr:rowOff>165306</xdr:rowOff>
    </xdr:to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SpPr txBox="1"/>
      </xdr:nvSpPr>
      <xdr:spPr>
        <a:xfrm>
          <a:off x="13377438" y="20191561"/>
          <a:ext cx="495729" cy="6429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4800" b="1">
              <a:solidFill>
                <a:srgbClr val="990099"/>
              </a:solidFill>
              <a:latin typeface="Agency FB" panose="020B0503020202020204" pitchFamily="34" charset="0"/>
            </a:rPr>
            <a:t>&lt;</a:t>
          </a:r>
        </a:p>
      </xdr:txBody>
    </xdr:sp>
    <xdr:clientData/>
  </xdr:twoCellAnchor>
  <xdr:twoCellAnchor>
    <xdr:from>
      <xdr:col>18</xdr:col>
      <xdr:colOff>447514</xdr:colOff>
      <xdr:row>91</xdr:row>
      <xdr:rowOff>129528</xdr:rowOff>
    </xdr:from>
    <xdr:to>
      <xdr:col>19</xdr:col>
      <xdr:colOff>109805</xdr:colOff>
      <xdr:row>94</xdr:row>
      <xdr:rowOff>165306</xdr:rowOff>
    </xdr:to>
    <xdr:sp macro="" textlink="">
      <xdr:nvSpPr>
        <xdr:cNvPr id="162" name="TextBox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 txBox="1"/>
      </xdr:nvSpPr>
      <xdr:spPr>
        <a:xfrm>
          <a:off x="15675609" y="20191561"/>
          <a:ext cx="495729" cy="6429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990099"/>
              </a:solidFill>
              <a:latin typeface="Agency FB" panose="020B0503020202020204" pitchFamily="34" charset="0"/>
            </a:rPr>
            <a:t>&gt;</a:t>
          </a:r>
        </a:p>
      </xdr:txBody>
    </xdr:sp>
    <xdr:clientData/>
  </xdr:twoCellAnchor>
  <xdr:twoCellAnchor>
    <xdr:from>
      <xdr:col>16</xdr:col>
      <xdr:colOff>760778</xdr:colOff>
      <xdr:row>91</xdr:row>
      <xdr:rowOff>165304</xdr:rowOff>
    </xdr:from>
    <xdr:to>
      <xdr:col>17</xdr:col>
      <xdr:colOff>811048</xdr:colOff>
      <xdr:row>96</xdr:row>
      <xdr:rowOff>22376</xdr:rowOff>
    </xdr:to>
    <xdr:sp macro="" textlink="">
      <xdr:nvSpPr>
        <xdr:cNvPr id="163" name="Rectangle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SpPr/>
      </xdr:nvSpPr>
      <xdr:spPr>
        <a:xfrm>
          <a:off x="14321998" y="20227337"/>
          <a:ext cx="883708" cy="869102"/>
        </a:xfrm>
        <a:prstGeom prst="rect">
          <a:avLst/>
        </a:prstGeom>
        <a:solidFill>
          <a:srgbClr val="990099">
            <a:alpha val="63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80963</xdr:colOff>
          <xdr:row>91</xdr:row>
          <xdr:rowOff>166688</xdr:rowOff>
        </xdr:from>
        <xdr:to>
          <xdr:col>34</xdr:col>
          <xdr:colOff>652463</xdr:colOff>
          <xdr:row>96</xdr:row>
          <xdr:rowOff>33338</xdr:rowOff>
        </xdr:to>
        <xdr:sp macro="" textlink="">
          <xdr:nvSpPr>
            <xdr:cNvPr id="4107" name="Scroll Bar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32</xdr:col>
      <xdr:colOff>894291</xdr:colOff>
      <xdr:row>91</xdr:row>
      <xdr:rowOff>166688</xdr:rowOff>
    </xdr:from>
    <xdr:to>
      <xdr:col>33</xdr:col>
      <xdr:colOff>656166</xdr:colOff>
      <xdr:row>96</xdr:row>
      <xdr:rowOff>59478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SpPr/>
      </xdr:nvSpPr>
      <xdr:spPr>
        <a:xfrm>
          <a:off x="28111979" y="20228721"/>
          <a:ext cx="785812" cy="904820"/>
        </a:xfrm>
        <a:prstGeom prst="rect">
          <a:avLst/>
        </a:prstGeom>
        <a:solidFill>
          <a:srgbClr val="990099">
            <a:alpha val="63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750197</xdr:colOff>
      <xdr:row>91</xdr:row>
      <xdr:rowOff>166630</xdr:rowOff>
    </xdr:from>
    <xdr:to>
      <xdr:col>32</xdr:col>
      <xdr:colOff>412488</xdr:colOff>
      <xdr:row>95</xdr:row>
      <xdr:rowOff>0</xdr:rowOff>
    </xdr:to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SpPr txBox="1"/>
      </xdr:nvSpPr>
      <xdr:spPr>
        <a:xfrm>
          <a:off x="27134447" y="20228663"/>
          <a:ext cx="495729" cy="6429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4800" b="1">
              <a:solidFill>
                <a:srgbClr val="990099"/>
              </a:solidFill>
              <a:latin typeface="Agency FB" panose="020B0503020202020204" pitchFamily="34" charset="0"/>
            </a:rPr>
            <a:t>&lt;</a:t>
          </a:r>
        </a:p>
      </xdr:txBody>
    </xdr:sp>
    <xdr:clientData/>
  </xdr:twoCellAnchor>
  <xdr:twoCellAnchor>
    <xdr:from>
      <xdr:col>34</xdr:col>
      <xdr:colOff>345648</xdr:colOff>
      <xdr:row>91</xdr:row>
      <xdr:rowOff>166630</xdr:rowOff>
    </xdr:from>
    <xdr:to>
      <xdr:col>34</xdr:col>
      <xdr:colOff>841377</xdr:colOff>
      <xdr:row>95</xdr:row>
      <xdr:rowOff>0</xdr:rowOff>
    </xdr:to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 txBox="1"/>
      </xdr:nvSpPr>
      <xdr:spPr>
        <a:xfrm>
          <a:off x="29432618" y="20228663"/>
          <a:ext cx="495729" cy="6429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990099"/>
              </a:solidFill>
              <a:latin typeface="Agency FB" panose="020B0503020202020204" pitchFamily="34" charset="0"/>
            </a:rPr>
            <a:t>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828675</xdr:colOff>
          <xdr:row>91</xdr:row>
          <xdr:rowOff>195263</xdr:rowOff>
        </xdr:from>
        <xdr:to>
          <xdr:col>26</xdr:col>
          <xdr:colOff>781050</xdr:colOff>
          <xdr:row>96</xdr:row>
          <xdr:rowOff>28575</xdr:rowOff>
        </xdr:to>
        <xdr:sp macro="" textlink="">
          <xdr:nvSpPr>
            <xdr:cNvPr id="4109" name="Scroll Bar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24</xdr:col>
      <xdr:colOff>730586</xdr:colOff>
      <xdr:row>91</xdr:row>
      <xdr:rowOff>193882</xdr:rowOff>
    </xdr:from>
    <xdr:to>
      <xdr:col>26</xdr:col>
      <xdr:colOff>9330</xdr:colOff>
      <xdr:row>96</xdr:row>
      <xdr:rowOff>53333</xdr:rowOff>
    </xdr:to>
    <xdr:sp macro="" textlink="">
      <xdr:nvSpPr>
        <xdr:cNvPr id="174" name="Rectangle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/>
      </xdr:nvSpPr>
      <xdr:spPr>
        <a:xfrm>
          <a:off x="21075986" y="20120182"/>
          <a:ext cx="888470" cy="859577"/>
        </a:xfrm>
        <a:prstGeom prst="rect">
          <a:avLst/>
        </a:prstGeom>
        <a:solidFill>
          <a:srgbClr val="990099">
            <a:alpha val="63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612818</xdr:colOff>
      <xdr:row>91</xdr:row>
      <xdr:rowOff>193882</xdr:rowOff>
    </xdr:from>
    <xdr:to>
      <xdr:col>24</xdr:col>
      <xdr:colOff>279873</xdr:colOff>
      <xdr:row>95</xdr:row>
      <xdr:rowOff>24868</xdr:rowOff>
    </xdr:to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SpPr txBox="1"/>
      </xdr:nvSpPr>
      <xdr:spPr>
        <a:xfrm>
          <a:off x="20008101" y="20255915"/>
          <a:ext cx="500492" cy="640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4800" b="1">
              <a:solidFill>
                <a:srgbClr val="990099"/>
              </a:solidFill>
              <a:latin typeface="Agency FB" panose="020B0503020202020204" pitchFamily="34" charset="0"/>
            </a:rPr>
            <a:t>&lt;</a:t>
          </a:r>
        </a:p>
      </xdr:txBody>
    </xdr:sp>
    <xdr:clientData/>
  </xdr:twoCellAnchor>
  <xdr:twoCellAnchor>
    <xdr:from>
      <xdr:col>26</xdr:col>
      <xdr:colOff>486877</xdr:colOff>
      <xdr:row>91</xdr:row>
      <xdr:rowOff>193882</xdr:rowOff>
    </xdr:from>
    <xdr:to>
      <xdr:col>27</xdr:col>
      <xdr:colOff>149168</xdr:colOff>
      <xdr:row>95</xdr:row>
      <xdr:rowOff>24868</xdr:rowOff>
    </xdr:to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 txBox="1"/>
      </xdr:nvSpPr>
      <xdr:spPr>
        <a:xfrm>
          <a:off x="22311035" y="20255915"/>
          <a:ext cx="495728" cy="640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990099"/>
              </a:solidFill>
              <a:latin typeface="Agency FB" panose="020B0503020202020204" pitchFamily="34" charset="0"/>
            </a:rPr>
            <a:t>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1362075</xdr:colOff>
          <xdr:row>73</xdr:row>
          <xdr:rowOff>42863</xdr:rowOff>
        </xdr:from>
        <xdr:to>
          <xdr:col>35</xdr:col>
          <xdr:colOff>609600</xdr:colOff>
          <xdr:row>77</xdr:row>
          <xdr:rowOff>0</xdr:rowOff>
        </xdr:to>
        <xdr:sp macro="" textlink="">
          <xdr:nvSpPr>
            <xdr:cNvPr id="4125" name="Spinner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2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34</xdr:col>
      <xdr:colOff>1227666</xdr:colOff>
      <xdr:row>72</xdr:row>
      <xdr:rowOff>41671</xdr:rowOff>
    </xdr:from>
    <xdr:to>
      <xdr:col>35</xdr:col>
      <xdr:colOff>745225</xdr:colOff>
      <xdr:row>78</xdr:row>
      <xdr:rowOff>23813</xdr:rowOff>
    </xdr:to>
    <xdr:sp macro="" textlink="">
      <xdr:nvSpPr>
        <xdr:cNvPr id="178" name="Circle: Hollow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/>
      </xdr:nvSpPr>
      <xdr:spPr>
        <a:xfrm>
          <a:off x="30463464" y="15942469"/>
          <a:ext cx="1005840" cy="1196579"/>
        </a:xfrm>
        <a:prstGeom prst="donut">
          <a:avLst>
            <a:gd name="adj" fmla="val 18592"/>
          </a:avLst>
        </a:prstGeom>
        <a:solidFill>
          <a:schemeClr val="tx1"/>
        </a:solidFill>
        <a:ln w="571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809625</xdr:colOff>
      <xdr:row>15</xdr:row>
      <xdr:rowOff>-1</xdr:rowOff>
    </xdr:from>
    <xdr:to>
      <xdr:col>35</xdr:col>
      <xdr:colOff>990598</xdr:colOff>
      <xdr:row>72</xdr:row>
      <xdr:rowOff>-1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1858625" y="2857499"/>
          <a:ext cx="19731038" cy="12501565"/>
        </a:xfrm>
        <a:prstGeom prst="rect">
          <a:avLst/>
        </a:prstGeom>
        <a:noFill/>
        <a:ln w="50800"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D2B89-AC51-FC46-8A0C-3CEA51B9C02A}">
  <sheetPr codeName="Sheet1"/>
  <dimension ref="B1:W212"/>
  <sheetViews>
    <sheetView zoomScale="50" zoomScaleNormal="50" workbookViewId="0">
      <selection activeCell="K10" sqref="K10"/>
    </sheetView>
  </sheetViews>
  <sheetFormatPr defaultColWidth="11" defaultRowHeight="15.75"/>
  <cols>
    <col min="2" max="2" width="5.6875" customWidth="1"/>
    <col min="3" max="3" width="19.1875" bestFit="1" customWidth="1"/>
    <col min="5" max="5" width="11.125" bestFit="1" customWidth="1"/>
    <col min="9" max="9" width="8.9375" bestFit="1" customWidth="1"/>
    <col min="10" max="10" width="13.125" customWidth="1"/>
    <col min="13" max="13" width="14.0625" bestFit="1" customWidth="1"/>
    <col min="14" max="14" width="11.5" bestFit="1" customWidth="1"/>
    <col min="15" max="15" width="14.5625" bestFit="1" customWidth="1"/>
    <col min="17" max="17" width="19.9375" bestFit="1" customWidth="1"/>
    <col min="18" max="18" width="15.3125" bestFit="1" customWidth="1"/>
    <col min="19" max="19" width="17.4375" bestFit="1" customWidth="1"/>
    <col min="20" max="22" width="11.5" bestFit="1" customWidth="1"/>
  </cols>
  <sheetData>
    <row r="1" spans="2:23" ht="16.149999999999999" thickBot="1"/>
    <row r="2" spans="2:23">
      <c r="B2" t="s">
        <v>0</v>
      </c>
      <c r="H2" s="1" t="s">
        <v>1</v>
      </c>
      <c r="I2" s="2"/>
      <c r="J2" s="2"/>
      <c r="K2" s="2"/>
      <c r="L2" s="3"/>
    </row>
    <row r="3" spans="2:23">
      <c r="H3" s="4" t="s">
        <v>2</v>
      </c>
      <c r="L3" s="5"/>
    </row>
    <row r="4" spans="2:23">
      <c r="B4" t="s">
        <v>3</v>
      </c>
      <c r="H4" s="4" t="s">
        <v>4</v>
      </c>
      <c r="L4" s="5"/>
      <c r="N4" s="95"/>
      <c r="O4" s="95"/>
      <c r="P4" s="95"/>
      <c r="Q4" s="95"/>
    </row>
    <row r="5" spans="2:23">
      <c r="C5" t="s">
        <v>5</v>
      </c>
      <c r="D5" s="6">
        <v>116000</v>
      </c>
      <c r="H5" s="4" t="s">
        <v>6</v>
      </c>
      <c r="L5" s="5"/>
      <c r="N5" s="95"/>
      <c r="O5" s="95"/>
      <c r="P5" s="95"/>
      <c r="Q5" s="95"/>
      <c r="U5">
        <v>46</v>
      </c>
      <c r="V5">
        <v>84</v>
      </c>
      <c r="W5" s="29" t="s">
        <v>38</v>
      </c>
    </row>
    <row r="6" spans="2:23" ht="16.149999999999999" thickBot="1">
      <c r="C6" t="s">
        <v>7</v>
      </c>
      <c r="D6" s="6">
        <v>167000</v>
      </c>
      <c r="H6" s="7" t="s">
        <v>8</v>
      </c>
      <c r="I6" s="8"/>
      <c r="J6" s="8"/>
      <c r="K6" s="8"/>
      <c r="L6" s="9"/>
      <c r="N6" s="95"/>
      <c r="O6" s="95"/>
      <c r="P6" s="95"/>
      <c r="Q6" s="95"/>
      <c r="U6">
        <v>85</v>
      </c>
      <c r="V6">
        <v>99</v>
      </c>
      <c r="W6" s="29" t="s">
        <v>37</v>
      </c>
    </row>
    <row r="7" spans="2:23">
      <c r="C7" t="s">
        <v>9</v>
      </c>
      <c r="D7" s="10">
        <v>0.1</v>
      </c>
      <c r="E7">
        <v>51</v>
      </c>
      <c r="N7" s="95"/>
      <c r="O7" s="95"/>
      <c r="P7" s="95"/>
      <c r="Q7" s="95"/>
      <c r="U7">
        <v>100</v>
      </c>
      <c r="V7">
        <v>500</v>
      </c>
      <c r="W7" s="29" t="s">
        <v>36</v>
      </c>
    </row>
    <row r="8" spans="2:23">
      <c r="C8" t="s">
        <v>10</v>
      </c>
      <c r="D8" s="6">
        <v>46</v>
      </c>
      <c r="E8" s="33">
        <f>VLOOKUP(E7,C22:H31,2)</f>
        <v>141131.73667840002</v>
      </c>
      <c r="F8" s="33">
        <f>VLOOKUP(E8,D22:I31,2)</f>
        <v>14113.173667840003</v>
      </c>
      <c r="G8" s="33">
        <f>VLOOKUP(F8,E22:J31,2)</f>
        <v>11290.538934272001</v>
      </c>
      <c r="H8" s="33">
        <f>VLOOKUP(G8,F22:K31,2)</f>
        <v>377274.2298624001</v>
      </c>
      <c r="I8" s="33">
        <f>VLOOKUP(H8,G22:L31,2)</f>
        <v>432859.88085350418</v>
      </c>
      <c r="N8" s="95"/>
      <c r="O8" s="95"/>
      <c r="P8" s="95"/>
      <c r="Q8" s="95"/>
    </row>
    <row r="9" spans="2:23">
      <c r="C9" t="s">
        <v>11</v>
      </c>
      <c r="D9" s="11">
        <v>0.08</v>
      </c>
      <c r="N9" s="95"/>
      <c r="O9" s="95"/>
      <c r="P9" s="95"/>
      <c r="Q9" s="95"/>
    </row>
    <row r="10" spans="2:23">
      <c r="C10" t="s">
        <v>12</v>
      </c>
      <c r="D10" s="11">
        <v>0.05</v>
      </c>
      <c r="N10" s="95">
        <f>PCT_Final_Income*D23</f>
        <v>84448</v>
      </c>
      <c r="O10" s="95">
        <f>N10/65%</f>
        <v>129920</v>
      </c>
      <c r="P10" s="95"/>
      <c r="Q10" s="95"/>
    </row>
    <row r="11" spans="2:23">
      <c r="C11" t="s">
        <v>13</v>
      </c>
      <c r="D11" s="11">
        <v>0.04</v>
      </c>
    </row>
    <row r="12" spans="2:23" ht="19.899999999999999" customHeight="1">
      <c r="C12" t="s">
        <v>14</v>
      </c>
      <c r="D12" s="11">
        <v>0.02</v>
      </c>
      <c r="M12" s="99" t="s">
        <v>56</v>
      </c>
      <c r="N12" s="100"/>
      <c r="O12" s="100"/>
      <c r="P12" s="100"/>
      <c r="Q12" s="100"/>
      <c r="R12" s="100"/>
      <c r="S12" s="100"/>
      <c r="T12" s="100"/>
      <c r="U12" s="100"/>
      <c r="V12" s="100"/>
    </row>
    <row r="13" spans="2:23">
      <c r="C13" t="s">
        <v>15</v>
      </c>
      <c r="D13" s="11">
        <v>0.35</v>
      </c>
      <c r="M13" t="s">
        <v>20</v>
      </c>
      <c r="N13" t="s">
        <v>25</v>
      </c>
      <c r="O13" t="s">
        <v>30</v>
      </c>
      <c r="P13" t="s">
        <v>31</v>
      </c>
      <c r="Q13" t="s">
        <v>41</v>
      </c>
      <c r="R13" t="s">
        <v>42</v>
      </c>
      <c r="S13" t="s">
        <v>40</v>
      </c>
      <c r="T13" t="s">
        <v>39</v>
      </c>
      <c r="U13" t="s">
        <v>32</v>
      </c>
      <c r="V13" t="s">
        <v>33</v>
      </c>
    </row>
    <row r="14" spans="2:23">
      <c r="M14">
        <f>D18</f>
        <v>67</v>
      </c>
      <c r="N14" s="33">
        <f>VLOOKUP(M14,C22:D66,2)</f>
        <v>264337.09597555187</v>
      </c>
      <c r="O14" s="33">
        <f>VLOOKUP(M14,J22:N66,2)</f>
        <v>185035.96718288629</v>
      </c>
      <c r="P14" s="33">
        <f>VLOOKUP(M14,J22:N66,3)</f>
        <v>284670.71874290198</v>
      </c>
      <c r="Q14" s="33">
        <f>VLOOKUP($M$14,$C$22:$H$66, 3)</f>
        <v>26433.709597555189</v>
      </c>
      <c r="R14" s="33">
        <f>VLOOKUP($M$14,$C$22:$H$66, 4)</f>
        <v>21146.967678044151</v>
      </c>
      <c r="S14" s="33">
        <f>VLOOKUP($M$14,$C$22:$H$66, 5)</f>
        <v>2278794.4979911628</v>
      </c>
      <c r="T14" s="48">
        <f>S14*ROA_Pre</f>
        <v>182303.55983929304</v>
      </c>
      <c r="U14" s="51">
        <f>SUM(Q14:T14)</f>
        <v>2508678.7351060552</v>
      </c>
      <c r="V14" s="33">
        <f>VLOOKUP(M14,J22:O66,5)</f>
        <v>2349441.9531184561</v>
      </c>
    </row>
    <row r="15" spans="2:23">
      <c r="B15" t="s">
        <v>16</v>
      </c>
      <c r="D15" s="12"/>
      <c r="N15" s="60">
        <v>100000</v>
      </c>
      <c r="O15" s="60">
        <v>100000</v>
      </c>
      <c r="P15" s="60">
        <v>100000</v>
      </c>
      <c r="Q15" s="50">
        <f>$U$14</f>
        <v>2508678.7351060552</v>
      </c>
      <c r="R15" s="50">
        <f t="shared" ref="R15:T15" si="0">$U$14</f>
        <v>2508678.7351060552</v>
      </c>
      <c r="S15" s="50">
        <f t="shared" si="0"/>
        <v>2508678.7351060552</v>
      </c>
      <c r="T15" s="50">
        <f t="shared" si="0"/>
        <v>2508678.7351060552</v>
      </c>
      <c r="U15" s="31"/>
    </row>
    <row r="16" spans="2:23" ht="16.149999999999999" thickBot="1">
      <c r="C16" t="s">
        <v>17</v>
      </c>
      <c r="D16" s="13">
        <f>F16</f>
        <v>0.08</v>
      </c>
      <c r="E16" s="96">
        <f>'Case 2_Dashboard'!Z91</f>
        <v>8</v>
      </c>
      <c r="F16" s="96">
        <f>E16/100</f>
        <v>0.08</v>
      </c>
      <c r="N16" s="61">
        <f>N17-N14-N15</f>
        <v>535662.90402444813</v>
      </c>
      <c r="O16" s="61">
        <f>O17-O14-O15</f>
        <v>614964.03281711368</v>
      </c>
      <c r="P16" s="61">
        <f>P17-P14-P15</f>
        <v>515329.28125709808</v>
      </c>
      <c r="U16" s="31"/>
    </row>
    <row r="17" spans="2:22" ht="16.149999999999999" thickBot="1">
      <c r="C17" t="s">
        <v>18</v>
      </c>
      <c r="D17" s="14">
        <f>F17</f>
        <v>0.7</v>
      </c>
      <c r="E17" s="96">
        <f>'Case 2_Dashboard'!AH91</f>
        <v>70</v>
      </c>
      <c r="F17" s="96">
        <f>E17/100</f>
        <v>0.7</v>
      </c>
      <c r="H17" s="15" t="s">
        <v>19</v>
      </c>
      <c r="I17" s="16">
        <f>INDEX(J22:J212,MATCH(1,O22:O212,0))</f>
        <v>77</v>
      </c>
      <c r="J17" s="32" t="str">
        <f>VLOOKUP(I17,$U$5:$W$7,3)</f>
        <v>)</v>
      </c>
      <c r="N17" s="62">
        <v>900000</v>
      </c>
      <c r="O17" s="62">
        <v>900000</v>
      </c>
      <c r="P17" s="62">
        <v>900000</v>
      </c>
      <c r="Q17" s="49"/>
      <c r="R17" s="49"/>
      <c r="S17" s="49"/>
      <c r="T17" s="49"/>
      <c r="U17" s="31"/>
    </row>
    <row r="18" spans="2:22">
      <c r="C18" t="s">
        <v>20</v>
      </c>
      <c r="D18" s="17">
        <f>'Case 2_Dashboard'!R91</f>
        <v>67</v>
      </c>
      <c r="Q18" s="23"/>
      <c r="R18" s="23"/>
      <c r="S18" s="23"/>
      <c r="T18" s="23"/>
      <c r="U18" s="31"/>
    </row>
    <row r="19" spans="2:22" ht="16.149999999999999" thickBot="1">
      <c r="T19" s="30"/>
      <c r="U19" s="31"/>
    </row>
    <row r="20" spans="2:22" ht="16.149999999999999" thickBot="1">
      <c r="B20" t="s">
        <v>21</v>
      </c>
      <c r="E20" t="s">
        <v>22</v>
      </c>
      <c r="F20" t="s">
        <v>22</v>
      </c>
      <c r="J20" t="s">
        <v>23</v>
      </c>
      <c r="O20" t="s">
        <v>24</v>
      </c>
      <c r="Q20" s="101" t="s">
        <v>56</v>
      </c>
      <c r="R20" s="102"/>
      <c r="T20" s="30"/>
      <c r="U20" s="31"/>
    </row>
    <row r="21" spans="2:22">
      <c r="C21" t="s">
        <v>10</v>
      </c>
      <c r="D21" t="s">
        <v>25</v>
      </c>
      <c r="E21" t="s">
        <v>26</v>
      </c>
      <c r="F21" t="s">
        <v>27</v>
      </c>
      <c r="G21" t="s">
        <v>28</v>
      </c>
      <c r="H21" t="s">
        <v>29</v>
      </c>
      <c r="J21" t="s">
        <v>10</v>
      </c>
      <c r="K21" t="s">
        <v>30</v>
      </c>
      <c r="L21" t="s">
        <v>31</v>
      </c>
      <c r="M21" t="s">
        <v>32</v>
      </c>
      <c r="N21" t="s">
        <v>33</v>
      </c>
      <c r="O21" t="s">
        <v>34</v>
      </c>
      <c r="Q21" s="97" t="s">
        <v>10</v>
      </c>
      <c r="R21" s="66" t="s">
        <v>33</v>
      </c>
      <c r="T21" s="30"/>
      <c r="U21" s="30"/>
    </row>
    <row r="22" spans="2:22">
      <c r="C22" s="19">
        <f>D8</f>
        <v>46</v>
      </c>
      <c r="D22" s="19">
        <f>D5</f>
        <v>116000</v>
      </c>
      <c r="E22" s="20">
        <f>D22*$D$7</f>
        <v>11600</v>
      </c>
      <c r="F22" s="20">
        <f t="shared" ref="F22:F66" si="1">D22*Bob_Savings_Rate</f>
        <v>9280</v>
      </c>
      <c r="G22" s="19">
        <f>D6</f>
        <v>167000</v>
      </c>
      <c r="H22" s="20">
        <f t="shared" ref="H22:H66" si="2">G22*(1+ROA_Pre)+F22+E22</f>
        <v>201240</v>
      </c>
      <c r="J22" s="18">
        <f>D18</f>
        <v>67</v>
      </c>
      <c r="K22" s="19">
        <f>PCT_Final_Income*VLOOKUP(J22,C22:D66,2,TRUE)</f>
        <v>185035.96718288629</v>
      </c>
      <c r="L22" s="20">
        <f>K22/(1-$D$13)</f>
        <v>284670.71874290198</v>
      </c>
      <c r="M22" s="19">
        <f>VLOOKUP(J22,C22:H66,6,TRUE)</f>
        <v>2508678.7351060552</v>
      </c>
      <c r="N22" s="20">
        <f>M22*(1+ROA_Post)-L22</f>
        <v>2349441.9531184561</v>
      </c>
      <c r="O22" s="21">
        <f>IF(N22&lt;0,1,0)</f>
        <v>0</v>
      </c>
      <c r="Q22" s="64">
        <f>D18</f>
        <v>67</v>
      </c>
      <c r="R22" s="33">
        <f>VLOOKUP(Q22,J22:O212,5)</f>
        <v>2349441.9531184561</v>
      </c>
      <c r="S22" s="65"/>
      <c r="T22" s="65"/>
      <c r="U22" s="65"/>
      <c r="V22" s="65"/>
    </row>
    <row r="23" spans="2:22">
      <c r="C23" s="20">
        <f>C22+1</f>
        <v>47</v>
      </c>
      <c r="D23" s="20">
        <f t="shared" ref="D23:D66" si="3">D22*(1+Income_Growth_Rate)</f>
        <v>120640</v>
      </c>
      <c r="E23" s="20">
        <f t="shared" ref="E23:E66" si="4">D23*$D$7</f>
        <v>12064</v>
      </c>
      <c r="F23" s="20">
        <f t="shared" si="1"/>
        <v>9651.2000000000007</v>
      </c>
      <c r="G23" s="19">
        <f>H22</f>
        <v>201240</v>
      </c>
      <c r="H23" s="20">
        <f>G23*(1+ROA_Pre)+F23+E23</f>
        <v>239054.40000000002</v>
      </c>
      <c r="J23" s="22">
        <f>J22+1</f>
        <v>68</v>
      </c>
      <c r="K23" s="20">
        <f>K22*(1+$D$12)</f>
        <v>188736.68652654401</v>
      </c>
      <c r="L23" s="20">
        <f t="shared" ref="L23:L66" si="5">K23/(1-$D$13)</f>
        <v>290364.13311776001</v>
      </c>
      <c r="M23" s="20">
        <f>N22</f>
        <v>2349441.9531184561</v>
      </c>
      <c r="N23" s="20">
        <f t="shared" ref="N23:N66" si="6">M23*(1+ROA_Post)-L23</f>
        <v>2176549.9176566191</v>
      </c>
      <c r="O23" s="21">
        <f t="shared" ref="O23:O66" si="7">IF(N23&lt;0,1,0)</f>
        <v>0</v>
      </c>
      <c r="Q23" s="64">
        <f>Q22+1</f>
        <v>68</v>
      </c>
      <c r="R23" s="33">
        <f t="shared" ref="R23:R86" si="8">VLOOKUP(Q23,J23:O213,5)</f>
        <v>2176549.9176566191</v>
      </c>
      <c r="S23" s="65"/>
      <c r="T23" s="65"/>
      <c r="U23" s="65"/>
      <c r="V23" s="65"/>
    </row>
    <row r="24" spans="2:22">
      <c r="C24" s="20">
        <f t="shared" ref="C24:C66" si="9">C23+1</f>
        <v>48</v>
      </c>
      <c r="D24" s="20">
        <f t="shared" si="3"/>
        <v>125465.60000000001</v>
      </c>
      <c r="E24" s="20">
        <f t="shared" si="4"/>
        <v>12546.560000000001</v>
      </c>
      <c r="F24" s="20">
        <f t="shared" si="1"/>
        <v>10037.248000000001</v>
      </c>
      <c r="G24" s="19">
        <f t="shared" ref="G24:G66" si="10">H23</f>
        <v>239054.40000000002</v>
      </c>
      <c r="H24" s="20">
        <f t="shared" si="2"/>
        <v>280762.56000000006</v>
      </c>
      <c r="J24" s="22">
        <f t="shared" ref="J24:J87" si="11">J23+1</f>
        <v>69</v>
      </c>
      <c r="K24" s="20">
        <f t="shared" ref="K24:K87" si="12">K23*(1+$D$12)</f>
        <v>192511.4202570749</v>
      </c>
      <c r="L24" s="20">
        <f t="shared" si="5"/>
        <v>296171.41578011523</v>
      </c>
      <c r="M24" s="20">
        <f t="shared" ref="M24:M66" si="13">N23</f>
        <v>2176549.9176566191</v>
      </c>
      <c r="N24" s="20">
        <f t="shared" si="6"/>
        <v>1989205.997759335</v>
      </c>
      <c r="O24" s="21">
        <f t="shared" si="7"/>
        <v>0</v>
      </c>
      <c r="Q24" s="64">
        <f t="shared" ref="Q24:Q87" si="14">Q23+1</f>
        <v>69</v>
      </c>
      <c r="R24" s="33">
        <f t="shared" si="8"/>
        <v>1989205.997759335</v>
      </c>
      <c r="S24" s="65"/>
      <c r="T24" s="65"/>
      <c r="U24" s="65"/>
      <c r="V24" s="65"/>
    </row>
    <row r="25" spans="2:22">
      <c r="C25" s="20">
        <f t="shared" si="9"/>
        <v>49</v>
      </c>
      <c r="D25" s="20">
        <f t="shared" si="3"/>
        <v>130484.22400000002</v>
      </c>
      <c r="E25" s="20">
        <f t="shared" si="4"/>
        <v>13048.422400000003</v>
      </c>
      <c r="F25" s="20">
        <f t="shared" si="1"/>
        <v>10438.737920000001</v>
      </c>
      <c r="G25" s="19">
        <f t="shared" si="10"/>
        <v>280762.56000000006</v>
      </c>
      <c r="H25" s="20">
        <f t="shared" si="2"/>
        <v>326710.72512000008</v>
      </c>
      <c r="J25" s="22">
        <f t="shared" si="11"/>
        <v>70</v>
      </c>
      <c r="K25" s="20">
        <f t="shared" si="12"/>
        <v>196361.64866221641</v>
      </c>
      <c r="L25" s="20">
        <f t="shared" si="5"/>
        <v>302094.84409571753</v>
      </c>
      <c r="M25" s="20">
        <f t="shared" si="13"/>
        <v>1989205.997759335</v>
      </c>
      <c r="N25" s="20">
        <f t="shared" si="6"/>
        <v>1786571.4535515844</v>
      </c>
      <c r="O25" s="21">
        <f t="shared" si="7"/>
        <v>0</v>
      </c>
      <c r="Q25" s="64">
        <f t="shared" si="14"/>
        <v>70</v>
      </c>
      <c r="R25" s="33">
        <f t="shared" si="8"/>
        <v>1786571.4535515844</v>
      </c>
      <c r="S25" s="65"/>
      <c r="T25" s="65"/>
      <c r="U25" s="65"/>
      <c r="V25" s="65"/>
    </row>
    <row r="26" spans="2:22">
      <c r="C26" s="20">
        <f t="shared" si="9"/>
        <v>50</v>
      </c>
      <c r="D26" s="20">
        <f t="shared" si="3"/>
        <v>135703.59296000001</v>
      </c>
      <c r="E26" s="20">
        <f t="shared" si="4"/>
        <v>13570.359296000002</v>
      </c>
      <c r="F26" s="20">
        <f t="shared" si="1"/>
        <v>10856.287436800001</v>
      </c>
      <c r="G26" s="19">
        <f t="shared" si="10"/>
        <v>326710.72512000008</v>
      </c>
      <c r="H26" s="20">
        <f t="shared" si="2"/>
        <v>377274.2298624001</v>
      </c>
      <c r="J26" s="22">
        <f t="shared" si="11"/>
        <v>71</v>
      </c>
      <c r="K26" s="20">
        <f t="shared" si="12"/>
        <v>200288.88163546074</v>
      </c>
      <c r="L26" s="20">
        <f t="shared" si="5"/>
        <v>308136.74097763188</v>
      </c>
      <c r="M26" s="20">
        <f t="shared" si="13"/>
        <v>1786571.4535515844</v>
      </c>
      <c r="N26" s="20">
        <f t="shared" si="6"/>
        <v>1567763.2852515317</v>
      </c>
      <c r="O26" s="21">
        <f t="shared" si="7"/>
        <v>0</v>
      </c>
      <c r="Q26" s="64">
        <f t="shared" si="14"/>
        <v>71</v>
      </c>
      <c r="R26" s="33">
        <f t="shared" si="8"/>
        <v>1567763.2852515317</v>
      </c>
      <c r="S26" s="65"/>
      <c r="T26" s="65"/>
      <c r="U26" s="65"/>
      <c r="V26" s="65"/>
    </row>
    <row r="27" spans="2:22">
      <c r="C27" s="20">
        <f t="shared" si="9"/>
        <v>51</v>
      </c>
      <c r="D27" s="20">
        <f t="shared" si="3"/>
        <v>141131.73667840002</v>
      </c>
      <c r="E27" s="20">
        <f t="shared" si="4"/>
        <v>14113.173667840003</v>
      </c>
      <c r="F27" s="20">
        <f t="shared" si="1"/>
        <v>11290.538934272001</v>
      </c>
      <c r="G27" s="19">
        <f t="shared" si="10"/>
        <v>377274.2298624001</v>
      </c>
      <c r="H27" s="20">
        <f t="shared" si="2"/>
        <v>432859.88085350418</v>
      </c>
      <c r="J27" s="22">
        <f t="shared" si="11"/>
        <v>72</v>
      </c>
      <c r="K27" s="20">
        <f t="shared" si="12"/>
        <v>204294.65926816995</v>
      </c>
      <c r="L27" s="20">
        <f t="shared" si="5"/>
        <v>314299.47579718451</v>
      </c>
      <c r="M27" s="20">
        <f t="shared" si="13"/>
        <v>1567763.2852515317</v>
      </c>
      <c r="N27" s="20">
        <f t="shared" si="6"/>
        <v>1331851.973716924</v>
      </c>
      <c r="O27" s="21">
        <f t="shared" si="7"/>
        <v>0</v>
      </c>
      <c r="Q27" s="64">
        <f t="shared" si="14"/>
        <v>72</v>
      </c>
      <c r="R27" s="33">
        <f t="shared" si="8"/>
        <v>1331851.973716924</v>
      </c>
      <c r="S27" s="65"/>
      <c r="T27" s="65"/>
      <c r="U27" s="65"/>
      <c r="V27" s="65"/>
    </row>
    <row r="28" spans="2:22">
      <c r="C28" s="20">
        <f t="shared" si="9"/>
        <v>52</v>
      </c>
      <c r="D28" s="20">
        <f t="shared" si="3"/>
        <v>146777.00614553603</v>
      </c>
      <c r="E28" s="20">
        <f t="shared" si="4"/>
        <v>14677.700614553603</v>
      </c>
      <c r="F28" s="20">
        <f t="shared" si="1"/>
        <v>11742.160491642882</v>
      </c>
      <c r="G28" s="19">
        <f t="shared" si="10"/>
        <v>432859.88085350418</v>
      </c>
      <c r="H28" s="20">
        <f t="shared" si="2"/>
        <v>493908.53242798103</v>
      </c>
      <c r="J28" s="22">
        <f t="shared" si="11"/>
        <v>73</v>
      </c>
      <c r="K28" s="20">
        <f t="shared" si="12"/>
        <v>208380.55245353337</v>
      </c>
      <c r="L28" s="20">
        <f t="shared" si="5"/>
        <v>320585.46531312825</v>
      </c>
      <c r="M28" s="20">
        <f t="shared" si="13"/>
        <v>1331851.973716924</v>
      </c>
      <c r="N28" s="20">
        <f t="shared" si="6"/>
        <v>1077859.107089642</v>
      </c>
      <c r="O28" s="21">
        <f t="shared" si="7"/>
        <v>0</v>
      </c>
      <c r="Q28" s="64">
        <f t="shared" si="14"/>
        <v>73</v>
      </c>
      <c r="R28" s="33">
        <f t="shared" si="8"/>
        <v>1077859.107089642</v>
      </c>
      <c r="S28" s="65"/>
      <c r="T28" s="65"/>
      <c r="U28" s="65"/>
      <c r="V28" s="65"/>
    </row>
    <row r="29" spans="2:22">
      <c r="C29" s="20">
        <f t="shared" si="9"/>
        <v>53</v>
      </c>
      <c r="D29" s="20">
        <f t="shared" si="3"/>
        <v>152648.08639135747</v>
      </c>
      <c r="E29" s="20">
        <f t="shared" si="4"/>
        <v>15264.808639135748</v>
      </c>
      <c r="F29" s="20">
        <f t="shared" si="1"/>
        <v>12211.846911308598</v>
      </c>
      <c r="G29" s="19">
        <f t="shared" si="10"/>
        <v>493908.53242798103</v>
      </c>
      <c r="H29" s="20">
        <f t="shared" si="2"/>
        <v>560897.87057266396</v>
      </c>
      <c r="J29" s="22">
        <f t="shared" si="11"/>
        <v>74</v>
      </c>
      <c r="K29" s="20">
        <f t="shared" si="12"/>
        <v>212548.16350260403</v>
      </c>
      <c r="L29" s="20">
        <f t="shared" si="5"/>
        <v>326997.1746193908</v>
      </c>
      <c r="M29" s="20">
        <f t="shared" si="13"/>
        <v>1077859.107089642</v>
      </c>
      <c r="N29" s="20">
        <f t="shared" si="6"/>
        <v>804754.88782473328</v>
      </c>
      <c r="O29" s="21">
        <f t="shared" si="7"/>
        <v>0</v>
      </c>
      <c r="Q29" s="64">
        <f t="shared" si="14"/>
        <v>74</v>
      </c>
      <c r="R29" s="33">
        <f t="shared" si="8"/>
        <v>804754.88782473328</v>
      </c>
      <c r="S29" s="65"/>
      <c r="T29" s="65"/>
      <c r="U29" s="65"/>
      <c r="V29" s="65"/>
    </row>
    <row r="30" spans="2:22">
      <c r="C30" s="20">
        <f t="shared" si="9"/>
        <v>54</v>
      </c>
      <c r="D30" s="20">
        <f t="shared" si="3"/>
        <v>158754.00984701177</v>
      </c>
      <c r="E30" s="20">
        <f t="shared" si="4"/>
        <v>15875.400984701177</v>
      </c>
      <c r="F30" s="20">
        <f t="shared" si="1"/>
        <v>12700.320787760942</v>
      </c>
      <c r="G30" s="19">
        <f t="shared" si="10"/>
        <v>560897.87057266396</v>
      </c>
      <c r="H30" s="20">
        <f t="shared" si="2"/>
        <v>634345.42199093918</v>
      </c>
      <c r="J30" s="22">
        <f t="shared" si="11"/>
        <v>75</v>
      </c>
      <c r="K30" s="20">
        <f t="shared" si="12"/>
        <v>216799.12677265611</v>
      </c>
      <c r="L30" s="20">
        <f t="shared" si="5"/>
        <v>333537.11811177863</v>
      </c>
      <c r="M30" s="20">
        <f t="shared" si="13"/>
        <v>804754.88782473328</v>
      </c>
      <c r="N30" s="20">
        <f t="shared" si="6"/>
        <v>511455.51410419133</v>
      </c>
      <c r="O30" s="21">
        <f t="shared" si="7"/>
        <v>0</v>
      </c>
      <c r="Q30" s="64">
        <f t="shared" si="14"/>
        <v>75</v>
      </c>
      <c r="R30" s="33">
        <f t="shared" si="8"/>
        <v>511455.51410419133</v>
      </c>
      <c r="S30" s="65"/>
      <c r="T30" s="65"/>
      <c r="U30" s="65"/>
      <c r="V30" s="65"/>
    </row>
    <row r="31" spans="2:22">
      <c r="C31" s="20">
        <f t="shared" si="9"/>
        <v>55</v>
      </c>
      <c r="D31" s="20">
        <f t="shared" si="3"/>
        <v>165104.17024089224</v>
      </c>
      <c r="E31" s="20">
        <f t="shared" si="4"/>
        <v>16510.417024089224</v>
      </c>
      <c r="F31" s="20">
        <f t="shared" si="1"/>
        <v>13208.33361927138</v>
      </c>
      <c r="G31" s="19">
        <f t="shared" si="10"/>
        <v>634345.42199093918</v>
      </c>
      <c r="H31" s="20">
        <f t="shared" si="2"/>
        <v>714811.80639357504</v>
      </c>
      <c r="J31" s="22">
        <f t="shared" si="11"/>
        <v>76</v>
      </c>
      <c r="K31" s="20">
        <f t="shared" si="12"/>
        <v>221135.10930810924</v>
      </c>
      <c r="L31" s="20">
        <f t="shared" si="5"/>
        <v>340207.86047401419</v>
      </c>
      <c r="M31" s="20">
        <f t="shared" si="13"/>
        <v>511455.51410419133</v>
      </c>
      <c r="N31" s="20">
        <f t="shared" si="6"/>
        <v>196820.42933538673</v>
      </c>
      <c r="O31" s="21">
        <f t="shared" si="7"/>
        <v>0</v>
      </c>
      <c r="Q31" s="64">
        <f t="shared" si="14"/>
        <v>76</v>
      </c>
      <c r="R31" s="33">
        <f t="shared" si="8"/>
        <v>196820.42933538673</v>
      </c>
      <c r="S31" s="65"/>
      <c r="T31" s="65"/>
      <c r="U31" s="65"/>
      <c r="V31" s="65"/>
    </row>
    <row r="32" spans="2:22">
      <c r="C32" s="20">
        <f t="shared" si="9"/>
        <v>56</v>
      </c>
      <c r="D32" s="20">
        <f t="shared" si="3"/>
        <v>171708.33705052795</v>
      </c>
      <c r="E32" s="20">
        <f t="shared" si="4"/>
        <v>17170.833705052795</v>
      </c>
      <c r="F32" s="20">
        <f t="shared" si="1"/>
        <v>13736.666964042235</v>
      </c>
      <c r="G32" s="19">
        <f t="shared" si="10"/>
        <v>714811.80639357504</v>
      </c>
      <c r="H32" s="20">
        <f t="shared" si="2"/>
        <v>802904.25157415622</v>
      </c>
      <c r="J32" s="22">
        <f t="shared" si="11"/>
        <v>77</v>
      </c>
      <c r="K32" s="20">
        <f t="shared" si="12"/>
        <v>225557.81149427142</v>
      </c>
      <c r="L32" s="20">
        <f t="shared" si="5"/>
        <v>347012.01768349449</v>
      </c>
      <c r="M32" s="20">
        <f t="shared" si="13"/>
        <v>196820.42933538673</v>
      </c>
      <c r="N32" s="20">
        <f t="shared" si="6"/>
        <v>-140350.56688133843</v>
      </c>
      <c r="O32" s="21">
        <f t="shared" si="7"/>
        <v>1</v>
      </c>
      <c r="Q32" s="64">
        <f t="shared" si="14"/>
        <v>77</v>
      </c>
      <c r="R32" s="33">
        <f t="shared" si="8"/>
        <v>-140350.56688133843</v>
      </c>
      <c r="S32" s="65"/>
      <c r="T32" s="65"/>
      <c r="U32" s="65"/>
      <c r="V32" s="65"/>
    </row>
    <row r="33" spans="3:22">
      <c r="C33" s="20">
        <f t="shared" si="9"/>
        <v>57</v>
      </c>
      <c r="D33" s="20">
        <f t="shared" si="3"/>
        <v>178576.67053254906</v>
      </c>
      <c r="E33" s="20">
        <f t="shared" si="4"/>
        <v>17857.667053254907</v>
      </c>
      <c r="F33" s="20">
        <f t="shared" si="1"/>
        <v>14286.133642603925</v>
      </c>
      <c r="G33" s="19">
        <f t="shared" si="10"/>
        <v>802904.25157415622</v>
      </c>
      <c r="H33" s="20">
        <f t="shared" si="2"/>
        <v>899280.39239594759</v>
      </c>
      <c r="J33" s="22">
        <f t="shared" si="11"/>
        <v>78</v>
      </c>
      <c r="K33" s="20">
        <f t="shared" si="12"/>
        <v>230068.96772415686</v>
      </c>
      <c r="L33" s="20">
        <f t="shared" si="5"/>
        <v>353952.2580371644</v>
      </c>
      <c r="M33" s="20">
        <f t="shared" si="13"/>
        <v>-140350.56688133843</v>
      </c>
      <c r="N33" s="20">
        <f t="shared" si="6"/>
        <v>-501320.35326256976</v>
      </c>
      <c r="O33" s="21">
        <f t="shared" si="7"/>
        <v>1</v>
      </c>
      <c r="Q33" s="64">
        <f t="shared" si="14"/>
        <v>78</v>
      </c>
      <c r="R33" s="33">
        <f t="shared" si="8"/>
        <v>-501320.35326256976</v>
      </c>
      <c r="S33" s="65"/>
      <c r="T33" s="65"/>
      <c r="U33" s="65"/>
      <c r="V33" s="65"/>
    </row>
    <row r="34" spans="3:22">
      <c r="C34" s="20">
        <f t="shared" si="9"/>
        <v>58</v>
      </c>
      <c r="D34" s="20">
        <f t="shared" si="3"/>
        <v>185719.73735385103</v>
      </c>
      <c r="E34" s="20">
        <f t="shared" si="4"/>
        <v>18571.973735385105</v>
      </c>
      <c r="F34" s="20">
        <f t="shared" si="1"/>
        <v>14857.578988308083</v>
      </c>
      <c r="G34" s="19">
        <f t="shared" si="10"/>
        <v>899280.39239594759</v>
      </c>
      <c r="H34" s="20">
        <f t="shared" si="2"/>
        <v>1004652.3765113166</v>
      </c>
      <c r="J34" s="22">
        <f t="shared" si="11"/>
        <v>79</v>
      </c>
      <c r="K34" s="20">
        <f t="shared" si="12"/>
        <v>234670.34707863998</v>
      </c>
      <c r="L34" s="20">
        <f t="shared" si="5"/>
        <v>361031.30319790763</v>
      </c>
      <c r="M34" s="20">
        <f t="shared" si="13"/>
        <v>-501320.35326256976</v>
      </c>
      <c r="N34" s="20">
        <f t="shared" si="6"/>
        <v>-887417.67412360595</v>
      </c>
      <c r="O34" s="21">
        <f t="shared" si="7"/>
        <v>1</v>
      </c>
      <c r="Q34" s="64">
        <f t="shared" si="14"/>
        <v>79</v>
      </c>
      <c r="R34" s="33">
        <f t="shared" si="8"/>
        <v>-887417.67412360595</v>
      </c>
      <c r="S34" s="65"/>
      <c r="T34" s="65"/>
      <c r="U34" s="65"/>
      <c r="V34" s="65"/>
    </row>
    <row r="35" spans="3:22">
      <c r="C35" s="20">
        <f t="shared" si="9"/>
        <v>59</v>
      </c>
      <c r="D35" s="20">
        <f t="shared" si="3"/>
        <v>193148.52684800507</v>
      </c>
      <c r="E35" s="20">
        <f t="shared" si="4"/>
        <v>19314.852684800509</v>
      </c>
      <c r="F35" s="20">
        <f t="shared" si="1"/>
        <v>15451.882147840406</v>
      </c>
      <c r="G35" s="19">
        <f t="shared" si="10"/>
        <v>1004652.3765113166</v>
      </c>
      <c r="H35" s="20">
        <f t="shared" si="2"/>
        <v>1119791.3014648629</v>
      </c>
      <c r="J35" s="22">
        <f t="shared" si="11"/>
        <v>80</v>
      </c>
      <c r="K35" s="20">
        <f t="shared" si="12"/>
        <v>239363.7540202128</v>
      </c>
      <c r="L35" s="20">
        <f t="shared" si="5"/>
        <v>368251.92926186585</v>
      </c>
      <c r="M35" s="20">
        <f t="shared" si="13"/>
        <v>-887417.67412360595</v>
      </c>
      <c r="N35" s="20">
        <f t="shared" si="6"/>
        <v>-1300040.4870916521</v>
      </c>
      <c r="O35" s="21">
        <f t="shared" si="7"/>
        <v>1</v>
      </c>
      <c r="Q35" s="64">
        <f t="shared" si="14"/>
        <v>80</v>
      </c>
      <c r="R35" s="33">
        <f t="shared" si="8"/>
        <v>-1300040.4870916521</v>
      </c>
      <c r="S35" s="65"/>
      <c r="T35" s="65"/>
      <c r="U35" s="65"/>
      <c r="V35" s="65"/>
    </row>
    <row r="36" spans="3:22">
      <c r="C36" s="20">
        <f t="shared" si="9"/>
        <v>60</v>
      </c>
      <c r="D36" s="20">
        <f t="shared" si="3"/>
        <v>200874.46792192527</v>
      </c>
      <c r="E36" s="20">
        <f t="shared" si="4"/>
        <v>20087.446792192528</v>
      </c>
      <c r="F36" s="20">
        <f t="shared" si="1"/>
        <v>16069.957433754022</v>
      </c>
      <c r="G36" s="19">
        <f t="shared" si="10"/>
        <v>1119791.3014648629</v>
      </c>
      <c r="H36" s="20">
        <f t="shared" si="2"/>
        <v>1245532.0098079985</v>
      </c>
      <c r="J36" s="22">
        <f t="shared" si="11"/>
        <v>81</v>
      </c>
      <c r="K36" s="20">
        <f t="shared" si="12"/>
        <v>244151.02910061707</v>
      </c>
      <c r="L36" s="20">
        <f t="shared" si="5"/>
        <v>375616.96784710319</v>
      </c>
      <c r="M36" s="20">
        <f t="shared" si="13"/>
        <v>-1300040.4870916521</v>
      </c>
      <c r="N36" s="20">
        <f t="shared" si="6"/>
        <v>-1740659.479293338</v>
      </c>
      <c r="O36" s="21">
        <f t="shared" si="7"/>
        <v>1</v>
      </c>
      <c r="Q36" s="64">
        <f t="shared" si="14"/>
        <v>81</v>
      </c>
      <c r="R36" s="33">
        <f t="shared" si="8"/>
        <v>-1740659.479293338</v>
      </c>
      <c r="S36" s="65"/>
      <c r="T36" s="65"/>
      <c r="U36" s="65"/>
      <c r="V36" s="65"/>
    </row>
    <row r="37" spans="3:22">
      <c r="C37" s="20">
        <f t="shared" si="9"/>
        <v>61</v>
      </c>
      <c r="D37" s="20">
        <f t="shared" si="3"/>
        <v>208909.4466388023</v>
      </c>
      <c r="E37" s="20">
        <f t="shared" si="4"/>
        <v>20890.944663880233</v>
      </c>
      <c r="F37" s="20">
        <f t="shared" si="1"/>
        <v>16712.755731104186</v>
      </c>
      <c r="G37" s="19">
        <f t="shared" si="10"/>
        <v>1245532.0098079985</v>
      </c>
      <c r="H37" s="20">
        <f t="shared" si="2"/>
        <v>1382778.2709876229</v>
      </c>
      <c r="J37" s="22">
        <f t="shared" si="11"/>
        <v>82</v>
      </c>
      <c r="K37" s="20">
        <f t="shared" si="12"/>
        <v>249034.04968262941</v>
      </c>
      <c r="L37" s="20">
        <f t="shared" si="5"/>
        <v>383129.30720404524</v>
      </c>
      <c r="M37" s="20">
        <f t="shared" si="13"/>
        <v>-1740659.479293338</v>
      </c>
      <c r="N37" s="20">
        <f t="shared" si="6"/>
        <v>-2210821.7604620503</v>
      </c>
      <c r="O37" s="21">
        <f t="shared" si="7"/>
        <v>1</v>
      </c>
      <c r="Q37" s="64">
        <f t="shared" si="14"/>
        <v>82</v>
      </c>
      <c r="R37" s="33">
        <f t="shared" si="8"/>
        <v>-2210821.7604620503</v>
      </c>
    </row>
    <row r="38" spans="3:22">
      <c r="C38" s="20">
        <f t="shared" si="9"/>
        <v>62</v>
      </c>
      <c r="D38" s="20">
        <f t="shared" si="3"/>
        <v>217265.82450435439</v>
      </c>
      <c r="E38" s="20">
        <f t="shared" si="4"/>
        <v>21726.582450435439</v>
      </c>
      <c r="F38" s="20">
        <f t="shared" si="1"/>
        <v>17381.265960348352</v>
      </c>
      <c r="G38" s="19">
        <f t="shared" si="10"/>
        <v>1382778.2709876229</v>
      </c>
      <c r="H38" s="20">
        <f t="shared" si="2"/>
        <v>1532508.3810774167</v>
      </c>
      <c r="J38" s="22">
        <f t="shared" si="11"/>
        <v>83</v>
      </c>
      <c r="K38" s="20">
        <f t="shared" si="12"/>
        <v>254014.73067628199</v>
      </c>
      <c r="L38" s="20">
        <f t="shared" si="5"/>
        <v>390791.89334812615</v>
      </c>
      <c r="M38" s="20">
        <f t="shared" si="13"/>
        <v>-2210821.7604620503</v>
      </c>
      <c r="N38" s="20">
        <f t="shared" si="6"/>
        <v>-2712154.7418332794</v>
      </c>
      <c r="O38" s="21">
        <f t="shared" si="7"/>
        <v>1</v>
      </c>
      <c r="Q38" s="64">
        <f t="shared" si="14"/>
        <v>83</v>
      </c>
      <c r="R38" s="33">
        <f t="shared" si="8"/>
        <v>-2712154.7418332794</v>
      </c>
    </row>
    <row r="39" spans="3:22">
      <c r="C39" s="20">
        <f t="shared" si="9"/>
        <v>63</v>
      </c>
      <c r="D39" s="20">
        <f t="shared" si="3"/>
        <v>225956.45748452857</v>
      </c>
      <c r="E39" s="20">
        <f t="shared" si="4"/>
        <v>22595.645748452858</v>
      </c>
      <c r="F39" s="20">
        <f t="shared" si="1"/>
        <v>18076.516598762286</v>
      </c>
      <c r="G39" s="19">
        <f t="shared" si="10"/>
        <v>1532508.3810774167</v>
      </c>
      <c r="H39" s="20">
        <f t="shared" si="2"/>
        <v>1695781.2139108251</v>
      </c>
      <c r="J39" s="22">
        <f t="shared" si="11"/>
        <v>84</v>
      </c>
      <c r="K39" s="20">
        <f t="shared" si="12"/>
        <v>259095.02528980764</v>
      </c>
      <c r="L39" s="20">
        <f t="shared" si="5"/>
        <v>398607.73121508869</v>
      </c>
      <c r="M39" s="20">
        <f t="shared" si="13"/>
        <v>-2712154.7418332794</v>
      </c>
      <c r="N39" s="20">
        <f t="shared" si="6"/>
        <v>-3246370.2101400322</v>
      </c>
      <c r="O39" s="21">
        <f t="shared" si="7"/>
        <v>1</v>
      </c>
      <c r="Q39" s="64">
        <f t="shared" si="14"/>
        <v>84</v>
      </c>
      <c r="R39" s="33">
        <f t="shared" si="8"/>
        <v>-3246370.2101400322</v>
      </c>
    </row>
    <row r="40" spans="3:22">
      <c r="C40" s="20">
        <f t="shared" si="9"/>
        <v>64</v>
      </c>
      <c r="D40" s="20">
        <f t="shared" si="3"/>
        <v>234994.71578390972</v>
      </c>
      <c r="E40" s="20">
        <f t="shared" si="4"/>
        <v>23499.471578390974</v>
      </c>
      <c r="F40" s="20">
        <f t="shared" si="1"/>
        <v>18799.577262712777</v>
      </c>
      <c r="G40" s="19">
        <f t="shared" si="10"/>
        <v>1695781.2139108251</v>
      </c>
      <c r="H40" s="20">
        <f t="shared" si="2"/>
        <v>1873742.759864795</v>
      </c>
      <c r="J40" s="22">
        <f t="shared" si="11"/>
        <v>85</v>
      </c>
      <c r="K40" s="20">
        <f t="shared" si="12"/>
        <v>264276.92579560378</v>
      </c>
      <c r="L40" s="20">
        <f t="shared" si="5"/>
        <v>406579.88583939039</v>
      </c>
      <c r="M40" s="20">
        <f t="shared" si="13"/>
        <v>-3246370.2101400322</v>
      </c>
      <c r="N40" s="20">
        <f t="shared" si="6"/>
        <v>-3815268.6064864243</v>
      </c>
      <c r="O40" s="21">
        <f t="shared" si="7"/>
        <v>1</v>
      </c>
      <c r="Q40" s="64">
        <f t="shared" si="14"/>
        <v>85</v>
      </c>
      <c r="R40" s="33">
        <f t="shared" si="8"/>
        <v>-3815268.6064864243</v>
      </c>
    </row>
    <row r="41" spans="3:22">
      <c r="C41" s="20">
        <f t="shared" si="9"/>
        <v>65</v>
      </c>
      <c r="D41" s="20">
        <f t="shared" si="3"/>
        <v>244394.50441526613</v>
      </c>
      <c r="E41" s="20">
        <f t="shared" si="4"/>
        <v>24439.450441526613</v>
      </c>
      <c r="F41" s="20">
        <f t="shared" si="1"/>
        <v>19551.560353221292</v>
      </c>
      <c r="G41" s="19">
        <f t="shared" si="10"/>
        <v>1873742.759864795</v>
      </c>
      <c r="H41" s="20">
        <f t="shared" si="2"/>
        <v>2067633.1914487269</v>
      </c>
      <c r="J41" s="22">
        <f t="shared" si="11"/>
        <v>86</v>
      </c>
      <c r="K41" s="20">
        <f t="shared" si="12"/>
        <v>269562.46431151585</v>
      </c>
      <c r="L41" s="20">
        <f t="shared" si="5"/>
        <v>414711.48355617822</v>
      </c>
      <c r="M41" s="20">
        <f t="shared" si="13"/>
        <v>-3815268.6064864243</v>
      </c>
      <c r="N41" s="20">
        <f t="shared" si="6"/>
        <v>-4420743.5203669239</v>
      </c>
      <c r="O41" s="21">
        <f t="shared" si="7"/>
        <v>1</v>
      </c>
      <c r="Q41" s="64">
        <f t="shared" si="14"/>
        <v>86</v>
      </c>
      <c r="R41" s="33">
        <f t="shared" si="8"/>
        <v>-4420743.5203669239</v>
      </c>
    </row>
    <row r="42" spans="3:22">
      <c r="C42" s="20">
        <f t="shared" si="9"/>
        <v>66</v>
      </c>
      <c r="D42" s="20">
        <f t="shared" si="3"/>
        <v>254170.28459187679</v>
      </c>
      <c r="E42" s="20">
        <f t="shared" si="4"/>
        <v>25417.028459187681</v>
      </c>
      <c r="F42" s="20">
        <f t="shared" si="1"/>
        <v>20333.622767350142</v>
      </c>
      <c r="G42" s="19">
        <f t="shared" si="10"/>
        <v>2067633.1914487269</v>
      </c>
      <c r="H42" s="20">
        <f t="shared" si="2"/>
        <v>2278794.4979911628</v>
      </c>
      <c r="J42" s="22">
        <f t="shared" si="11"/>
        <v>87</v>
      </c>
      <c r="K42" s="20">
        <f t="shared" si="12"/>
        <v>274953.71359774616</v>
      </c>
      <c r="L42" s="20">
        <f t="shared" si="5"/>
        <v>423005.71322730178</v>
      </c>
      <c r="M42" s="20">
        <f t="shared" si="13"/>
        <v>-4420743.5203669239</v>
      </c>
      <c r="N42" s="20">
        <f t="shared" si="6"/>
        <v>-5064786.4096125718</v>
      </c>
      <c r="O42" s="21">
        <f t="shared" si="7"/>
        <v>1</v>
      </c>
      <c r="Q42" s="64">
        <f t="shared" si="14"/>
        <v>87</v>
      </c>
      <c r="R42" s="33">
        <f t="shared" si="8"/>
        <v>-5064786.4096125718</v>
      </c>
    </row>
    <row r="43" spans="3:22">
      <c r="C43" s="20">
        <f t="shared" si="9"/>
        <v>67</v>
      </c>
      <c r="D43" s="20">
        <f t="shared" si="3"/>
        <v>264337.09597555187</v>
      </c>
      <c r="E43" s="20">
        <f t="shared" si="4"/>
        <v>26433.709597555189</v>
      </c>
      <c r="F43" s="20">
        <f t="shared" si="1"/>
        <v>21146.967678044151</v>
      </c>
      <c r="G43" s="19">
        <f t="shared" si="10"/>
        <v>2278794.4979911628</v>
      </c>
      <c r="H43" s="20">
        <f t="shared" si="2"/>
        <v>2508678.7351060552</v>
      </c>
      <c r="J43" s="22">
        <f t="shared" si="11"/>
        <v>88</v>
      </c>
      <c r="K43" s="20">
        <f t="shared" si="12"/>
        <v>280452.7878697011</v>
      </c>
      <c r="L43" s="20">
        <f t="shared" si="5"/>
        <v>431465.82749184786</v>
      </c>
      <c r="M43" s="20">
        <f t="shared" si="13"/>
        <v>-5064786.4096125718</v>
      </c>
      <c r="N43" s="20">
        <f t="shared" si="6"/>
        <v>-5749491.5575850485</v>
      </c>
      <c r="O43" s="21">
        <f t="shared" si="7"/>
        <v>1</v>
      </c>
      <c r="Q43" s="64">
        <f t="shared" si="14"/>
        <v>88</v>
      </c>
      <c r="R43" s="33">
        <f t="shared" si="8"/>
        <v>-5749491.5575850485</v>
      </c>
    </row>
    <row r="44" spans="3:22">
      <c r="C44" s="20">
        <f t="shared" si="9"/>
        <v>68</v>
      </c>
      <c r="D44" s="20">
        <f t="shared" si="3"/>
        <v>274910.57981457398</v>
      </c>
      <c r="E44" s="20">
        <f t="shared" si="4"/>
        <v>27491.057981457401</v>
      </c>
      <c r="F44" s="20">
        <f t="shared" si="1"/>
        <v>21992.846385165918</v>
      </c>
      <c r="G44" s="19">
        <f t="shared" si="10"/>
        <v>2508678.7351060552</v>
      </c>
      <c r="H44" s="20">
        <f t="shared" si="2"/>
        <v>2758856.9382811636</v>
      </c>
      <c r="J44" s="22">
        <f t="shared" si="11"/>
        <v>89</v>
      </c>
      <c r="K44" s="20">
        <f t="shared" si="12"/>
        <v>286061.84362709511</v>
      </c>
      <c r="L44" s="20">
        <f t="shared" si="5"/>
        <v>440095.14404168475</v>
      </c>
      <c r="M44" s="20">
        <f t="shared" si="13"/>
        <v>-5749491.5575850485</v>
      </c>
      <c r="N44" s="20">
        <f t="shared" si="6"/>
        <v>-6477061.2795059858</v>
      </c>
      <c r="O44" s="21">
        <f t="shared" si="7"/>
        <v>1</v>
      </c>
      <c r="Q44" s="64">
        <f t="shared" si="14"/>
        <v>89</v>
      </c>
      <c r="R44" s="33">
        <f t="shared" si="8"/>
        <v>-6477061.2795059858</v>
      </c>
    </row>
    <row r="45" spans="3:22">
      <c r="C45" s="20">
        <f t="shared" si="9"/>
        <v>69</v>
      </c>
      <c r="D45" s="20">
        <f t="shared" si="3"/>
        <v>285907.00300715695</v>
      </c>
      <c r="E45" s="20">
        <f t="shared" si="4"/>
        <v>28590.700300715696</v>
      </c>
      <c r="F45" s="20">
        <f t="shared" si="1"/>
        <v>22872.560240572555</v>
      </c>
      <c r="G45" s="19">
        <f t="shared" si="10"/>
        <v>2758856.9382811636</v>
      </c>
      <c r="H45" s="20">
        <f t="shared" si="2"/>
        <v>3031028.7538849455</v>
      </c>
      <c r="J45" s="22">
        <f t="shared" si="11"/>
        <v>90</v>
      </c>
      <c r="K45" s="20">
        <f t="shared" si="12"/>
        <v>291783.080499637</v>
      </c>
      <c r="L45" s="20">
        <f t="shared" si="5"/>
        <v>448897.04692251846</v>
      </c>
      <c r="M45" s="20">
        <f t="shared" si="13"/>
        <v>-6477061.2795059858</v>
      </c>
      <c r="N45" s="20">
        <f t="shared" si="6"/>
        <v>-7249811.3904038044</v>
      </c>
      <c r="O45" s="21">
        <f t="shared" si="7"/>
        <v>1</v>
      </c>
      <c r="Q45" s="64">
        <f t="shared" si="14"/>
        <v>90</v>
      </c>
      <c r="R45" s="33">
        <f t="shared" si="8"/>
        <v>-7249811.3904038044</v>
      </c>
    </row>
    <row r="46" spans="3:22">
      <c r="C46" s="20">
        <f t="shared" si="9"/>
        <v>70</v>
      </c>
      <c r="D46" s="20">
        <f t="shared" si="3"/>
        <v>297343.28312744322</v>
      </c>
      <c r="E46" s="20">
        <f t="shared" si="4"/>
        <v>29734.328312744325</v>
      </c>
      <c r="F46" s="20">
        <f t="shared" si="1"/>
        <v>23787.462650195459</v>
      </c>
      <c r="G46" s="19">
        <f t="shared" si="10"/>
        <v>3031028.7538849455</v>
      </c>
      <c r="H46" s="20">
        <f t="shared" si="2"/>
        <v>3327032.8451586808</v>
      </c>
      <c r="J46" s="22">
        <f t="shared" si="11"/>
        <v>91</v>
      </c>
      <c r="K46" s="20">
        <f t="shared" si="12"/>
        <v>297618.74210962973</v>
      </c>
      <c r="L46" s="20">
        <f t="shared" si="5"/>
        <v>457874.9878609688</v>
      </c>
      <c r="M46" s="20">
        <f t="shared" si="13"/>
        <v>-7249811.3904038044</v>
      </c>
      <c r="N46" s="20">
        <f t="shared" si="6"/>
        <v>-8070176.947784964</v>
      </c>
      <c r="O46" s="21">
        <f t="shared" si="7"/>
        <v>1</v>
      </c>
      <c r="Q46" s="64">
        <f t="shared" si="14"/>
        <v>91</v>
      </c>
      <c r="R46" s="33">
        <f t="shared" si="8"/>
        <v>-8070176.947784964</v>
      </c>
    </row>
    <row r="47" spans="3:22">
      <c r="C47" s="20">
        <f t="shared" si="9"/>
        <v>71</v>
      </c>
      <c r="D47" s="20">
        <f t="shared" si="3"/>
        <v>309237.01445254096</v>
      </c>
      <c r="E47" s="20">
        <f t="shared" si="4"/>
        <v>30923.701445254097</v>
      </c>
      <c r="F47" s="20">
        <f t="shared" si="1"/>
        <v>24738.961156203277</v>
      </c>
      <c r="G47" s="19">
        <f t="shared" si="10"/>
        <v>3327032.8451586808</v>
      </c>
      <c r="H47" s="20">
        <f t="shared" si="2"/>
        <v>3648858.1353728329</v>
      </c>
      <c r="J47" s="22">
        <f t="shared" si="11"/>
        <v>92</v>
      </c>
      <c r="K47" s="20">
        <f t="shared" si="12"/>
        <v>303571.11695182236</v>
      </c>
      <c r="L47" s="20">
        <f t="shared" si="5"/>
        <v>467032.48761818826</v>
      </c>
      <c r="M47" s="20">
        <f t="shared" si="13"/>
        <v>-8070176.947784964</v>
      </c>
      <c r="N47" s="20">
        <f t="shared" si="6"/>
        <v>-8940718.2827924006</v>
      </c>
      <c r="O47" s="21">
        <f t="shared" si="7"/>
        <v>1</v>
      </c>
      <c r="Q47" s="64">
        <f t="shared" si="14"/>
        <v>92</v>
      </c>
      <c r="R47" s="33">
        <f t="shared" si="8"/>
        <v>-8940718.2827924006</v>
      </c>
    </row>
    <row r="48" spans="3:22">
      <c r="C48" s="20">
        <f t="shared" si="9"/>
        <v>72</v>
      </c>
      <c r="D48" s="20">
        <f t="shared" si="3"/>
        <v>321606.4950306426</v>
      </c>
      <c r="E48" s="20">
        <f t="shared" si="4"/>
        <v>32160.649503064262</v>
      </c>
      <c r="F48" s="20">
        <f t="shared" si="1"/>
        <v>25728.519602451408</v>
      </c>
      <c r="G48" s="19">
        <f t="shared" si="10"/>
        <v>3648858.1353728329</v>
      </c>
      <c r="H48" s="20">
        <f t="shared" si="2"/>
        <v>3998655.9553081756</v>
      </c>
      <c r="J48" s="22">
        <f t="shared" si="11"/>
        <v>93</v>
      </c>
      <c r="K48" s="20">
        <f t="shared" si="12"/>
        <v>309642.53929085884</v>
      </c>
      <c r="L48" s="20">
        <f t="shared" si="5"/>
        <v>476373.13737055205</v>
      </c>
      <c r="M48" s="20">
        <f t="shared" si="13"/>
        <v>-8940718.2827924006</v>
      </c>
      <c r="N48" s="20">
        <f t="shared" si="6"/>
        <v>-9864127.3343025744</v>
      </c>
      <c r="O48" s="21">
        <f t="shared" si="7"/>
        <v>1</v>
      </c>
      <c r="Q48" s="64">
        <f t="shared" si="14"/>
        <v>93</v>
      </c>
      <c r="R48" s="33">
        <f t="shared" si="8"/>
        <v>-9864127.3343025744</v>
      </c>
    </row>
    <row r="49" spans="3:18">
      <c r="C49" s="20">
        <f t="shared" si="9"/>
        <v>73</v>
      </c>
      <c r="D49" s="20">
        <f t="shared" si="3"/>
        <v>334470.75483186834</v>
      </c>
      <c r="E49" s="20">
        <f t="shared" si="4"/>
        <v>33447.075483186833</v>
      </c>
      <c r="F49" s="20">
        <f t="shared" si="1"/>
        <v>26757.660386549469</v>
      </c>
      <c r="G49" s="19">
        <f t="shared" si="10"/>
        <v>3998655.9553081756</v>
      </c>
      <c r="H49" s="20">
        <f t="shared" si="2"/>
        <v>4378753.1676025661</v>
      </c>
      <c r="J49" s="22">
        <f t="shared" si="11"/>
        <v>94</v>
      </c>
      <c r="K49" s="20">
        <f t="shared" si="12"/>
        <v>315835.39007667603</v>
      </c>
      <c r="L49" s="20">
        <f t="shared" si="5"/>
        <v>485900.6001179631</v>
      </c>
      <c r="M49" s="20">
        <f t="shared" si="13"/>
        <v>-9864127.3343025744</v>
      </c>
      <c r="N49" s="20">
        <f t="shared" si="6"/>
        <v>-10843234.301135667</v>
      </c>
      <c r="O49" s="21">
        <f t="shared" si="7"/>
        <v>1</v>
      </c>
      <c r="Q49" s="64">
        <f t="shared" si="14"/>
        <v>94</v>
      </c>
      <c r="R49" s="33">
        <f t="shared" si="8"/>
        <v>-10843234.301135667</v>
      </c>
    </row>
    <row r="50" spans="3:18">
      <c r="C50" s="20">
        <f t="shared" si="9"/>
        <v>74</v>
      </c>
      <c r="D50" s="20">
        <f t="shared" si="3"/>
        <v>347849.58502514311</v>
      </c>
      <c r="E50" s="20">
        <f t="shared" si="4"/>
        <v>34784.95850251431</v>
      </c>
      <c r="F50" s="20">
        <f t="shared" si="1"/>
        <v>27827.966802011448</v>
      </c>
      <c r="G50" s="19">
        <f t="shared" si="10"/>
        <v>4378753.1676025661</v>
      </c>
      <c r="H50" s="20">
        <f t="shared" si="2"/>
        <v>4791666.3463152973</v>
      </c>
      <c r="J50" s="22">
        <f t="shared" si="11"/>
        <v>95</v>
      </c>
      <c r="K50" s="20">
        <f t="shared" si="12"/>
        <v>322152.09787820955</v>
      </c>
      <c r="L50" s="20">
        <f t="shared" si="5"/>
        <v>495618.61212032236</v>
      </c>
      <c r="M50" s="20">
        <f t="shared" si="13"/>
        <v>-10843234.301135667</v>
      </c>
      <c r="N50" s="20">
        <f t="shared" si="6"/>
        <v>-11881014.628312774</v>
      </c>
      <c r="O50" s="21">
        <f t="shared" si="7"/>
        <v>1</v>
      </c>
      <c r="Q50" s="64">
        <f>Q49+1</f>
        <v>95</v>
      </c>
      <c r="R50" s="33">
        <f t="shared" si="8"/>
        <v>-11881014.628312774</v>
      </c>
    </row>
    <row r="51" spans="3:18">
      <c r="C51" s="20">
        <f t="shared" si="9"/>
        <v>75</v>
      </c>
      <c r="D51" s="20">
        <f t="shared" si="3"/>
        <v>361763.56842614885</v>
      </c>
      <c r="E51" s="20">
        <f t="shared" si="4"/>
        <v>36176.356842614885</v>
      </c>
      <c r="F51" s="20">
        <f t="shared" si="1"/>
        <v>28941.085474091909</v>
      </c>
      <c r="G51" s="19">
        <f t="shared" si="10"/>
        <v>4791666.3463152973</v>
      </c>
      <c r="H51" s="20">
        <f t="shared" si="2"/>
        <v>5240117.0963372281</v>
      </c>
      <c r="J51" s="22">
        <f t="shared" si="11"/>
        <v>96</v>
      </c>
      <c r="K51" s="20">
        <f t="shared" si="12"/>
        <v>328595.13983577373</v>
      </c>
      <c r="L51" s="20">
        <f t="shared" si="5"/>
        <v>505530.98436272878</v>
      </c>
      <c r="M51" s="20">
        <f t="shared" si="13"/>
        <v>-11881014.628312774</v>
      </c>
      <c r="N51" s="20">
        <f t="shared" si="6"/>
        <v>-12980596.344091142</v>
      </c>
      <c r="O51" s="21">
        <f t="shared" si="7"/>
        <v>1</v>
      </c>
      <c r="Q51" s="64">
        <f t="shared" si="14"/>
        <v>96</v>
      </c>
      <c r="R51" s="33">
        <f t="shared" si="8"/>
        <v>-12980596.344091142</v>
      </c>
    </row>
    <row r="52" spans="3:18">
      <c r="C52" s="20">
        <f t="shared" si="9"/>
        <v>76</v>
      </c>
      <c r="D52" s="20">
        <f t="shared" si="3"/>
        <v>376234.11116319482</v>
      </c>
      <c r="E52" s="20">
        <f t="shared" si="4"/>
        <v>37623.411116319483</v>
      </c>
      <c r="F52" s="20">
        <f t="shared" si="1"/>
        <v>30098.728893055584</v>
      </c>
      <c r="G52" s="19">
        <f t="shared" si="10"/>
        <v>5240117.0963372281</v>
      </c>
      <c r="H52" s="20">
        <f t="shared" si="2"/>
        <v>5727048.6040535821</v>
      </c>
      <c r="J52" s="22">
        <f t="shared" si="11"/>
        <v>97</v>
      </c>
      <c r="K52" s="20">
        <f t="shared" si="12"/>
        <v>335167.04263248923</v>
      </c>
      <c r="L52" s="20">
        <f t="shared" si="5"/>
        <v>515641.60404998343</v>
      </c>
      <c r="M52" s="20">
        <f t="shared" si="13"/>
        <v>-12980596.344091142</v>
      </c>
      <c r="N52" s="20">
        <f t="shared" si="6"/>
        <v>-14145267.765345681</v>
      </c>
      <c r="O52" s="21">
        <f t="shared" si="7"/>
        <v>1</v>
      </c>
      <c r="Q52" s="64">
        <f t="shared" si="14"/>
        <v>97</v>
      </c>
      <c r="R52" s="33">
        <f t="shared" si="8"/>
        <v>-14145267.765345681</v>
      </c>
    </row>
    <row r="53" spans="3:18">
      <c r="C53" s="20">
        <f t="shared" si="9"/>
        <v>77</v>
      </c>
      <c r="D53" s="20">
        <f t="shared" si="3"/>
        <v>391283.47560972261</v>
      </c>
      <c r="E53" s="20">
        <f t="shared" si="4"/>
        <v>39128.347560972259</v>
      </c>
      <c r="F53" s="20">
        <f t="shared" si="1"/>
        <v>31302.678048777809</v>
      </c>
      <c r="G53" s="19">
        <f t="shared" si="10"/>
        <v>5727048.6040535821</v>
      </c>
      <c r="H53" s="20">
        <f t="shared" si="2"/>
        <v>6255643.5179876182</v>
      </c>
      <c r="J53" s="22">
        <f t="shared" si="11"/>
        <v>98</v>
      </c>
      <c r="K53" s="20">
        <f t="shared" si="12"/>
        <v>341870.383485139</v>
      </c>
      <c r="L53" s="20">
        <f t="shared" si="5"/>
        <v>525954.43613098306</v>
      </c>
      <c r="M53" s="20">
        <f t="shared" si="13"/>
        <v>-14145267.765345681</v>
      </c>
      <c r="N53" s="20">
        <f t="shared" si="6"/>
        <v>-15378485.589743949</v>
      </c>
      <c r="O53" s="21">
        <f t="shared" si="7"/>
        <v>1</v>
      </c>
      <c r="Q53" s="64">
        <f t="shared" si="14"/>
        <v>98</v>
      </c>
      <c r="R53" s="33">
        <f t="shared" si="8"/>
        <v>-15378485.589743949</v>
      </c>
    </row>
    <row r="54" spans="3:18">
      <c r="C54" s="20">
        <f t="shared" si="9"/>
        <v>78</v>
      </c>
      <c r="D54" s="20">
        <f t="shared" si="3"/>
        <v>406934.81463411154</v>
      </c>
      <c r="E54" s="20">
        <f t="shared" si="4"/>
        <v>40693.481463411154</v>
      </c>
      <c r="F54" s="20">
        <f t="shared" si="1"/>
        <v>32554.785170728923</v>
      </c>
      <c r="G54" s="19">
        <f t="shared" si="10"/>
        <v>6255643.5179876182</v>
      </c>
      <c r="H54" s="20">
        <f t="shared" si="2"/>
        <v>6829343.2660607686</v>
      </c>
      <c r="J54" s="22">
        <f t="shared" si="11"/>
        <v>99</v>
      </c>
      <c r="K54" s="20">
        <f t="shared" si="12"/>
        <v>348707.79115484178</v>
      </c>
      <c r="L54" s="20">
        <f t="shared" si="5"/>
        <v>536473.52485360275</v>
      </c>
      <c r="M54" s="20">
        <f t="shared" si="13"/>
        <v>-15378485.589743949</v>
      </c>
      <c r="N54" s="20">
        <f t="shared" si="6"/>
        <v>-16683883.39408475</v>
      </c>
      <c r="O54" s="21">
        <f t="shared" si="7"/>
        <v>1</v>
      </c>
      <c r="Q54" s="64">
        <f t="shared" si="14"/>
        <v>99</v>
      </c>
      <c r="R54" s="33">
        <f t="shared" si="8"/>
        <v>-16683883.39408475</v>
      </c>
    </row>
    <row r="55" spans="3:18">
      <c r="C55" s="20">
        <f t="shared" si="9"/>
        <v>79</v>
      </c>
      <c r="D55" s="20">
        <f t="shared" si="3"/>
        <v>423212.207219476</v>
      </c>
      <c r="E55" s="20">
        <f t="shared" si="4"/>
        <v>42321.220721947604</v>
      </c>
      <c r="F55" s="20">
        <f t="shared" si="1"/>
        <v>33856.976577558082</v>
      </c>
      <c r="G55" s="19">
        <f t="shared" si="10"/>
        <v>6829343.2660607686</v>
      </c>
      <c r="H55" s="20">
        <f t="shared" si="2"/>
        <v>7451868.9246451361</v>
      </c>
      <c r="J55" s="22">
        <f t="shared" si="11"/>
        <v>100</v>
      </c>
      <c r="K55" s="20">
        <f t="shared" si="12"/>
        <v>355681.94697793864</v>
      </c>
      <c r="L55" s="20">
        <f t="shared" si="5"/>
        <v>547202.99535067484</v>
      </c>
      <c r="M55" s="20">
        <f t="shared" si="13"/>
        <v>-16683883.39408475</v>
      </c>
      <c r="N55" s="20">
        <f t="shared" si="6"/>
        <v>-18065280.559139661</v>
      </c>
      <c r="O55" s="21">
        <f t="shared" si="7"/>
        <v>1</v>
      </c>
      <c r="Q55" s="64">
        <f t="shared" si="14"/>
        <v>100</v>
      </c>
      <c r="R55" s="33">
        <f t="shared" si="8"/>
        <v>-18065280.559139661</v>
      </c>
    </row>
    <row r="56" spans="3:18">
      <c r="C56" s="20">
        <f t="shared" si="9"/>
        <v>80</v>
      </c>
      <c r="D56" s="20">
        <f t="shared" si="3"/>
        <v>440140.69550825504</v>
      </c>
      <c r="E56" s="20">
        <f t="shared" si="4"/>
        <v>44014.069550825508</v>
      </c>
      <c r="F56" s="20">
        <f t="shared" si="1"/>
        <v>35211.255640660405</v>
      </c>
      <c r="G56" s="19">
        <f t="shared" si="10"/>
        <v>7451868.9246451361</v>
      </c>
      <c r="H56" s="20">
        <f t="shared" si="2"/>
        <v>8127243.7638082337</v>
      </c>
      <c r="J56" s="22">
        <f t="shared" si="11"/>
        <v>101</v>
      </c>
      <c r="K56" s="20">
        <f t="shared" si="12"/>
        <v>362795.5859174974</v>
      </c>
      <c r="L56" s="20">
        <f t="shared" si="5"/>
        <v>558147.05525768828</v>
      </c>
      <c r="M56" s="20">
        <f t="shared" si="13"/>
        <v>-18065280.559139661</v>
      </c>
      <c r="N56" s="20">
        <f t="shared" si="6"/>
        <v>-19526691.642354336</v>
      </c>
      <c r="O56" s="21">
        <f t="shared" si="7"/>
        <v>1</v>
      </c>
      <c r="Q56" s="64">
        <f t="shared" si="14"/>
        <v>101</v>
      </c>
      <c r="R56" s="33">
        <f t="shared" si="8"/>
        <v>-19526691.642354336</v>
      </c>
    </row>
    <row r="57" spans="3:18">
      <c r="C57" s="20">
        <f t="shared" si="9"/>
        <v>81</v>
      </c>
      <c r="D57" s="20">
        <f t="shared" si="3"/>
        <v>457746.32332858525</v>
      </c>
      <c r="E57" s="20">
        <f t="shared" si="4"/>
        <v>45774.632332858528</v>
      </c>
      <c r="F57" s="20">
        <f t="shared" si="1"/>
        <v>36619.705866286822</v>
      </c>
      <c r="G57" s="19">
        <f t="shared" si="10"/>
        <v>8127243.7638082337</v>
      </c>
      <c r="H57" s="20">
        <f t="shared" si="2"/>
        <v>8859817.6031120364</v>
      </c>
      <c r="J57" s="22">
        <f t="shared" si="11"/>
        <v>102</v>
      </c>
      <c r="K57" s="20">
        <f t="shared" si="12"/>
        <v>370051.49763584737</v>
      </c>
      <c r="L57" s="20">
        <f t="shared" si="5"/>
        <v>569309.99636284204</v>
      </c>
      <c r="M57" s="20">
        <f t="shared" si="13"/>
        <v>-19526691.642354336</v>
      </c>
      <c r="N57" s="20">
        <f t="shared" si="6"/>
        <v>-21072336.220834896</v>
      </c>
      <c r="O57" s="21">
        <f t="shared" si="7"/>
        <v>1</v>
      </c>
      <c r="Q57" s="64">
        <f t="shared" si="14"/>
        <v>102</v>
      </c>
      <c r="R57" s="33">
        <f t="shared" si="8"/>
        <v>-21072336.220834896</v>
      </c>
    </row>
    <row r="58" spans="3:18">
      <c r="C58" s="20">
        <f t="shared" si="9"/>
        <v>82</v>
      </c>
      <c r="D58" s="20">
        <f t="shared" si="3"/>
        <v>476056.17626172869</v>
      </c>
      <c r="E58" s="20">
        <f t="shared" si="4"/>
        <v>47605.617626172869</v>
      </c>
      <c r="F58" s="20">
        <f t="shared" si="1"/>
        <v>38084.494100938296</v>
      </c>
      <c r="G58" s="19">
        <f t="shared" si="10"/>
        <v>8859817.6031120364</v>
      </c>
      <c r="H58" s="20">
        <f t="shared" si="2"/>
        <v>9654293.1230881102</v>
      </c>
      <c r="J58" s="22">
        <f t="shared" si="11"/>
        <v>103</v>
      </c>
      <c r="K58" s="20">
        <f t="shared" si="12"/>
        <v>377452.52758856432</v>
      </c>
      <c r="L58" s="20">
        <f t="shared" si="5"/>
        <v>580696.19629009895</v>
      </c>
      <c r="M58" s="20">
        <f t="shared" si="13"/>
        <v>-21072336.220834896</v>
      </c>
      <c r="N58" s="20">
        <f t="shared" si="6"/>
        <v>-22706649.22816674</v>
      </c>
      <c r="O58" s="21">
        <f t="shared" si="7"/>
        <v>1</v>
      </c>
      <c r="Q58" s="64">
        <f t="shared" si="14"/>
        <v>103</v>
      </c>
      <c r="R58" s="33">
        <f t="shared" si="8"/>
        <v>-22706649.22816674</v>
      </c>
    </row>
    <row r="59" spans="3:18">
      <c r="C59" s="20">
        <f t="shared" si="9"/>
        <v>83</v>
      </c>
      <c r="D59" s="20">
        <f t="shared" si="3"/>
        <v>495098.42331219785</v>
      </c>
      <c r="E59" s="20">
        <f t="shared" si="4"/>
        <v>49509.842331219785</v>
      </c>
      <c r="F59" s="20">
        <f t="shared" si="1"/>
        <v>39607.873864975831</v>
      </c>
      <c r="G59" s="19">
        <f t="shared" si="10"/>
        <v>9654293.1230881102</v>
      </c>
      <c r="H59" s="20">
        <f t="shared" si="2"/>
        <v>10515754.289131356</v>
      </c>
      <c r="J59" s="22">
        <f t="shared" si="11"/>
        <v>104</v>
      </c>
      <c r="K59" s="20">
        <f t="shared" si="12"/>
        <v>385001.57814033562</v>
      </c>
      <c r="L59" s="20">
        <f t="shared" si="5"/>
        <v>592310.12021590094</v>
      </c>
      <c r="M59" s="20">
        <f t="shared" si="13"/>
        <v>-22706649.22816674</v>
      </c>
      <c r="N59" s="20">
        <f t="shared" si="6"/>
        <v>-24434291.80979098</v>
      </c>
      <c r="O59" s="21">
        <f t="shared" si="7"/>
        <v>1</v>
      </c>
      <c r="Q59" s="64">
        <f t="shared" si="14"/>
        <v>104</v>
      </c>
      <c r="R59" s="33">
        <f t="shared" si="8"/>
        <v>-24434291.80979098</v>
      </c>
    </row>
    <row r="60" spans="3:18">
      <c r="C60" s="20">
        <f t="shared" si="9"/>
        <v>84</v>
      </c>
      <c r="D60" s="20">
        <f t="shared" si="3"/>
        <v>514902.36024468578</v>
      </c>
      <c r="E60" s="20">
        <f t="shared" si="4"/>
        <v>51490.236024468584</v>
      </c>
      <c r="F60" s="20">
        <f t="shared" si="1"/>
        <v>41192.188819574862</v>
      </c>
      <c r="G60" s="19">
        <f t="shared" si="10"/>
        <v>10515754.289131356</v>
      </c>
      <c r="H60" s="20">
        <f t="shared" si="2"/>
        <v>11449697.057105908</v>
      </c>
      <c r="J60" s="22">
        <f t="shared" si="11"/>
        <v>105</v>
      </c>
      <c r="K60" s="20">
        <f t="shared" si="12"/>
        <v>392701.60970314237</v>
      </c>
      <c r="L60" s="20">
        <f t="shared" si="5"/>
        <v>604156.32262021897</v>
      </c>
      <c r="M60" s="20">
        <f t="shared" si="13"/>
        <v>-24434291.80979098</v>
      </c>
      <c r="N60" s="20">
        <f t="shared" si="6"/>
        <v>-26260162.722900752</v>
      </c>
      <c r="O60" s="21">
        <f t="shared" si="7"/>
        <v>1</v>
      </c>
      <c r="Q60" s="64">
        <f t="shared" si="14"/>
        <v>105</v>
      </c>
      <c r="R60" s="33">
        <f t="shared" si="8"/>
        <v>-26260162.722900752</v>
      </c>
    </row>
    <row r="61" spans="3:18">
      <c r="C61" s="20">
        <f t="shared" si="9"/>
        <v>85</v>
      </c>
      <c r="D61" s="20">
        <f t="shared" si="3"/>
        <v>535498.45465447323</v>
      </c>
      <c r="E61" s="20">
        <f t="shared" si="4"/>
        <v>53549.845465447324</v>
      </c>
      <c r="F61" s="20">
        <f t="shared" si="1"/>
        <v>42839.87637235786</v>
      </c>
      <c r="G61" s="19">
        <f t="shared" si="10"/>
        <v>11449697.057105908</v>
      </c>
      <c r="H61" s="20">
        <f t="shared" si="2"/>
        <v>12462062.543512188</v>
      </c>
      <c r="J61" s="22">
        <f t="shared" si="11"/>
        <v>106</v>
      </c>
      <c r="K61" s="20">
        <f t="shared" si="12"/>
        <v>400555.64189720521</v>
      </c>
      <c r="L61" s="20">
        <f t="shared" si="5"/>
        <v>616239.44907262339</v>
      </c>
      <c r="M61" s="20">
        <f t="shared" si="13"/>
        <v>-26260162.722900752</v>
      </c>
      <c r="N61" s="20">
        <f t="shared" si="6"/>
        <v>-28189410.308118414</v>
      </c>
      <c r="O61" s="21">
        <f t="shared" si="7"/>
        <v>1</v>
      </c>
      <c r="Q61" s="64">
        <f t="shared" si="14"/>
        <v>106</v>
      </c>
      <c r="R61" s="33">
        <f t="shared" si="8"/>
        <v>-28189410.308118414</v>
      </c>
    </row>
    <row r="62" spans="3:18">
      <c r="C62" s="20">
        <f t="shared" si="9"/>
        <v>86</v>
      </c>
      <c r="D62" s="20">
        <f t="shared" si="3"/>
        <v>556918.39284065214</v>
      </c>
      <c r="E62" s="20">
        <f t="shared" si="4"/>
        <v>55691.839284065216</v>
      </c>
      <c r="F62" s="20">
        <f t="shared" si="1"/>
        <v>44553.471427252174</v>
      </c>
      <c r="G62" s="19">
        <f t="shared" si="10"/>
        <v>12462062.543512188</v>
      </c>
      <c r="H62" s="20">
        <f t="shared" si="2"/>
        <v>13559272.857704483</v>
      </c>
      <c r="J62" s="22">
        <f t="shared" si="11"/>
        <v>107</v>
      </c>
      <c r="K62" s="20">
        <f t="shared" si="12"/>
        <v>408566.75473514933</v>
      </c>
      <c r="L62" s="20">
        <f t="shared" si="5"/>
        <v>628564.23805407586</v>
      </c>
      <c r="M62" s="20">
        <f t="shared" si="13"/>
        <v>-28189410.308118414</v>
      </c>
      <c r="N62" s="20">
        <f t="shared" si="6"/>
        <v>-30227445.061578412</v>
      </c>
      <c r="O62" s="21">
        <f t="shared" si="7"/>
        <v>1</v>
      </c>
      <c r="Q62" s="64">
        <f t="shared" si="14"/>
        <v>107</v>
      </c>
      <c r="R62" s="33">
        <f t="shared" si="8"/>
        <v>-30227445.061578412</v>
      </c>
    </row>
    <row r="63" spans="3:18">
      <c r="C63" s="20">
        <f t="shared" si="9"/>
        <v>87</v>
      </c>
      <c r="D63" s="20">
        <f t="shared" si="3"/>
        <v>579195.12855427829</v>
      </c>
      <c r="E63" s="20">
        <f t="shared" si="4"/>
        <v>57919.512855427834</v>
      </c>
      <c r="F63" s="20">
        <f t="shared" si="1"/>
        <v>46335.610284342263</v>
      </c>
      <c r="G63" s="19">
        <f t="shared" si="10"/>
        <v>13559272.857704483</v>
      </c>
      <c r="H63" s="20">
        <f t="shared" si="2"/>
        <v>14748269.809460612</v>
      </c>
      <c r="J63" s="22">
        <f t="shared" si="11"/>
        <v>108</v>
      </c>
      <c r="K63" s="20">
        <f t="shared" si="12"/>
        <v>416738.08982985234</v>
      </c>
      <c r="L63" s="20">
        <f t="shared" si="5"/>
        <v>641135.52281515743</v>
      </c>
      <c r="M63" s="20">
        <f t="shared" si="13"/>
        <v>-30227445.061578412</v>
      </c>
      <c r="N63" s="20">
        <f t="shared" si="6"/>
        <v>-32379952.837472491</v>
      </c>
      <c r="O63" s="21">
        <f t="shared" si="7"/>
        <v>1</v>
      </c>
      <c r="Q63" s="64">
        <f t="shared" si="14"/>
        <v>108</v>
      </c>
      <c r="R63" s="33">
        <f t="shared" si="8"/>
        <v>-32379952.837472491</v>
      </c>
    </row>
    <row r="64" spans="3:18">
      <c r="C64" s="20">
        <f t="shared" si="9"/>
        <v>88</v>
      </c>
      <c r="D64" s="20">
        <f t="shared" si="3"/>
        <v>602362.93369644939</v>
      </c>
      <c r="E64" s="20">
        <f t="shared" si="4"/>
        <v>60236.29336964494</v>
      </c>
      <c r="F64" s="20">
        <f t="shared" si="1"/>
        <v>48189.034695715949</v>
      </c>
      <c r="G64" s="19">
        <f t="shared" si="10"/>
        <v>14748269.809460612</v>
      </c>
      <c r="H64" s="20">
        <f t="shared" si="2"/>
        <v>16036556.722282823</v>
      </c>
      <c r="J64" s="22">
        <f t="shared" si="11"/>
        <v>109</v>
      </c>
      <c r="K64" s="20">
        <f t="shared" si="12"/>
        <v>425072.85162644938</v>
      </c>
      <c r="L64" s="20">
        <f t="shared" si="5"/>
        <v>653958.23327146051</v>
      </c>
      <c r="M64" s="20">
        <f t="shared" si="13"/>
        <v>-32379952.837472491</v>
      </c>
      <c r="N64" s="20">
        <f t="shared" si="6"/>
        <v>-34652908.712617576</v>
      </c>
      <c r="O64" s="21">
        <f t="shared" si="7"/>
        <v>1</v>
      </c>
      <c r="Q64" s="64">
        <f t="shared" si="14"/>
        <v>109</v>
      </c>
      <c r="R64" s="33">
        <f t="shared" si="8"/>
        <v>-34652908.712617576</v>
      </c>
    </row>
    <row r="65" spans="3:18">
      <c r="C65" s="20">
        <f t="shared" si="9"/>
        <v>89</v>
      </c>
      <c r="D65" s="20">
        <f t="shared" si="3"/>
        <v>626457.45104430744</v>
      </c>
      <c r="E65" s="20">
        <f t="shared" si="4"/>
        <v>62645.745104430745</v>
      </c>
      <c r="F65" s="20">
        <f t="shared" si="1"/>
        <v>50116.596083544595</v>
      </c>
      <c r="G65" s="19">
        <f t="shared" si="10"/>
        <v>16036556.722282823</v>
      </c>
      <c r="H65" s="20">
        <f t="shared" si="2"/>
        <v>17432243.601253428</v>
      </c>
      <c r="J65" s="22">
        <f t="shared" si="11"/>
        <v>110</v>
      </c>
      <c r="K65" s="20">
        <f t="shared" si="12"/>
        <v>433574.30865897838</v>
      </c>
      <c r="L65" s="20">
        <f t="shared" si="5"/>
        <v>667037.39793688979</v>
      </c>
      <c r="M65" s="20">
        <f t="shared" si="13"/>
        <v>-34652908.712617576</v>
      </c>
      <c r="N65" s="20">
        <f t="shared" si="6"/>
        <v>-37052591.546185344</v>
      </c>
      <c r="O65" s="21">
        <f t="shared" si="7"/>
        <v>1</v>
      </c>
      <c r="Q65" s="64">
        <f t="shared" si="14"/>
        <v>110</v>
      </c>
      <c r="R65" s="33">
        <f t="shared" si="8"/>
        <v>-37052591.546185344</v>
      </c>
    </row>
    <row r="66" spans="3:18">
      <c r="C66" s="20">
        <f t="shared" si="9"/>
        <v>90</v>
      </c>
      <c r="D66" s="20">
        <f t="shared" si="3"/>
        <v>651515.74908607977</v>
      </c>
      <c r="E66" s="20">
        <f t="shared" si="4"/>
        <v>65151.574908607981</v>
      </c>
      <c r="F66" s="20">
        <f t="shared" si="1"/>
        <v>52121.259926886385</v>
      </c>
      <c r="G66" s="19">
        <f t="shared" si="10"/>
        <v>17432243.601253428</v>
      </c>
      <c r="H66" s="20">
        <f t="shared" si="2"/>
        <v>18944095.924189195</v>
      </c>
      <c r="J66" s="22">
        <f t="shared" si="11"/>
        <v>111</v>
      </c>
      <c r="K66" s="20">
        <f t="shared" si="12"/>
        <v>442245.79483215796</v>
      </c>
      <c r="L66" s="20">
        <f t="shared" si="5"/>
        <v>680378.14589562756</v>
      </c>
      <c r="M66" s="20">
        <f t="shared" si="13"/>
        <v>-37052591.546185344</v>
      </c>
      <c r="N66" s="20">
        <f t="shared" si="6"/>
        <v>-39585599.26939024</v>
      </c>
      <c r="O66" s="21">
        <f t="shared" si="7"/>
        <v>1</v>
      </c>
      <c r="Q66" s="64">
        <f t="shared" si="14"/>
        <v>111</v>
      </c>
      <c r="R66" s="33">
        <f t="shared" si="8"/>
        <v>-39585599.26939024</v>
      </c>
    </row>
    <row r="67" spans="3:18">
      <c r="J67" s="22">
        <f t="shared" si="11"/>
        <v>112</v>
      </c>
      <c r="K67" s="20">
        <f t="shared" si="12"/>
        <v>451090.71072880115</v>
      </c>
      <c r="L67" s="20">
        <f t="shared" ref="L67:L80" si="15">K67/(1-$D$13)</f>
        <v>693985.70881354017</v>
      </c>
      <c r="M67" s="20">
        <f t="shared" ref="M67:M80" si="16">N66</f>
        <v>-39585599.26939024</v>
      </c>
      <c r="N67" s="20">
        <f t="shared" ref="N67:N80" si="17">M67*(1+ROA_Post)-L67</f>
        <v>-42258864.941673294</v>
      </c>
      <c r="O67" s="21">
        <f t="shared" ref="O67:O80" si="18">IF(N67&lt;0,1,0)</f>
        <v>1</v>
      </c>
      <c r="Q67" s="64">
        <f t="shared" si="14"/>
        <v>112</v>
      </c>
      <c r="R67" s="33">
        <f t="shared" si="8"/>
        <v>-42258864.941673294</v>
      </c>
    </row>
    <row r="68" spans="3:18">
      <c r="J68" s="22">
        <f t="shared" si="11"/>
        <v>113</v>
      </c>
      <c r="K68" s="20">
        <f t="shared" si="12"/>
        <v>460112.52494337718</v>
      </c>
      <c r="L68" s="20">
        <f t="shared" si="15"/>
        <v>707865.42298981105</v>
      </c>
      <c r="M68" s="20">
        <f t="shared" si="16"/>
        <v>-42258864.941673294</v>
      </c>
      <c r="N68" s="20">
        <f t="shared" si="17"/>
        <v>-45079673.611746766</v>
      </c>
      <c r="O68" s="21">
        <f t="shared" si="18"/>
        <v>1</v>
      </c>
      <c r="Q68" s="64">
        <f t="shared" si="14"/>
        <v>113</v>
      </c>
      <c r="R68" s="33">
        <f t="shared" si="8"/>
        <v>-45079673.611746766</v>
      </c>
    </row>
    <row r="69" spans="3:18">
      <c r="J69" s="22">
        <f t="shared" si="11"/>
        <v>114</v>
      </c>
      <c r="K69" s="20">
        <f t="shared" si="12"/>
        <v>469314.77544224472</v>
      </c>
      <c r="L69" s="20">
        <f t="shared" si="15"/>
        <v>722022.73144960718</v>
      </c>
      <c r="M69" s="20">
        <f t="shared" si="16"/>
        <v>-45079673.611746766</v>
      </c>
      <c r="N69" s="20">
        <f t="shared" si="17"/>
        <v>-48055680.023783714</v>
      </c>
      <c r="O69" s="21">
        <f t="shared" si="18"/>
        <v>1</v>
      </c>
      <c r="Q69" s="64">
        <f t="shared" si="14"/>
        <v>114</v>
      </c>
      <c r="R69" s="33">
        <f t="shared" si="8"/>
        <v>-48055680.023783714</v>
      </c>
    </row>
    <row r="70" spans="3:18">
      <c r="J70" s="22">
        <f t="shared" si="11"/>
        <v>115</v>
      </c>
      <c r="K70" s="20">
        <f t="shared" si="12"/>
        <v>478701.07095108961</v>
      </c>
      <c r="L70" s="20">
        <f t="shared" si="15"/>
        <v>736463.18607859942</v>
      </c>
      <c r="M70" s="20">
        <f t="shared" si="16"/>
        <v>-48055680.023783714</v>
      </c>
      <c r="N70" s="20">
        <f t="shared" si="17"/>
        <v>-51194927.211051501</v>
      </c>
      <c r="O70" s="21">
        <f t="shared" si="18"/>
        <v>1</v>
      </c>
      <c r="Q70" s="64">
        <f t="shared" si="14"/>
        <v>115</v>
      </c>
      <c r="R70" s="33">
        <f t="shared" si="8"/>
        <v>-51194927.211051501</v>
      </c>
    </row>
    <row r="71" spans="3:18">
      <c r="C71" s="18"/>
      <c r="J71" s="22">
        <f t="shared" si="11"/>
        <v>116</v>
      </c>
      <c r="K71" s="20">
        <f t="shared" si="12"/>
        <v>488275.09237011144</v>
      </c>
      <c r="L71" s="20">
        <f t="shared" si="15"/>
        <v>751192.44980017142</v>
      </c>
      <c r="M71" s="20">
        <f t="shared" si="16"/>
        <v>-51194927.211051501</v>
      </c>
      <c r="N71" s="20">
        <f t="shared" si="17"/>
        <v>-54505866.021404251</v>
      </c>
      <c r="O71" s="21">
        <f t="shared" si="18"/>
        <v>1</v>
      </c>
      <c r="Q71" s="64">
        <f t="shared" si="14"/>
        <v>116</v>
      </c>
      <c r="R71" s="33">
        <f t="shared" si="8"/>
        <v>-54505866.021404251</v>
      </c>
    </row>
    <row r="72" spans="3:18">
      <c r="C72" s="10"/>
      <c r="D72" s="22"/>
      <c r="E72" s="22"/>
      <c r="F72" s="22"/>
      <c r="G72" s="22"/>
      <c r="J72" s="22">
        <f t="shared" si="11"/>
        <v>117</v>
      </c>
      <c r="K72" s="20">
        <f t="shared" si="12"/>
        <v>498040.59421751369</v>
      </c>
      <c r="L72" s="20">
        <f t="shared" si="15"/>
        <v>766216.29879617493</v>
      </c>
      <c r="M72" s="20">
        <f t="shared" si="16"/>
        <v>-54505866.021404251</v>
      </c>
      <c r="N72" s="20">
        <f t="shared" si="17"/>
        <v>-57997375.621270642</v>
      </c>
      <c r="O72" s="21">
        <f t="shared" si="18"/>
        <v>1</v>
      </c>
      <c r="Q72" s="64">
        <f t="shared" si="14"/>
        <v>117</v>
      </c>
      <c r="R72" s="33">
        <f t="shared" si="8"/>
        <v>-57997375.621270642</v>
      </c>
    </row>
    <row r="73" spans="3:18">
      <c r="C73" s="10"/>
      <c r="D73" s="22"/>
      <c r="E73" s="22"/>
      <c r="F73" s="22"/>
      <c r="G73" s="22"/>
      <c r="J73" s="22">
        <f t="shared" si="11"/>
        <v>118</v>
      </c>
      <c r="K73" s="20">
        <f t="shared" si="12"/>
        <v>508001.40610186395</v>
      </c>
      <c r="L73" s="20">
        <f t="shared" si="15"/>
        <v>781540.62477209838</v>
      </c>
      <c r="M73" s="20">
        <f t="shared" si="16"/>
        <v>-57997375.621270642</v>
      </c>
      <c r="N73" s="20">
        <f t="shared" si="17"/>
        <v>-61678785.027106278</v>
      </c>
      <c r="O73" s="21">
        <f t="shared" si="18"/>
        <v>1</v>
      </c>
      <c r="Q73" s="64">
        <f t="shared" si="14"/>
        <v>118</v>
      </c>
      <c r="R73" s="33">
        <f t="shared" si="8"/>
        <v>-61678785.027106278</v>
      </c>
    </row>
    <row r="74" spans="3:18">
      <c r="C74" s="10"/>
      <c r="D74" s="22"/>
      <c r="E74" s="22"/>
      <c r="F74" s="22"/>
      <c r="G74" s="22"/>
      <c r="J74" s="22">
        <f t="shared" si="11"/>
        <v>119</v>
      </c>
      <c r="K74" s="20">
        <f t="shared" si="12"/>
        <v>518161.43422390125</v>
      </c>
      <c r="L74" s="20">
        <f t="shared" si="15"/>
        <v>797171.43726754037</v>
      </c>
      <c r="M74" s="20">
        <f t="shared" si="16"/>
        <v>-61678785.027106278</v>
      </c>
      <c r="N74" s="20">
        <f t="shared" si="17"/>
        <v>-65559895.71572914</v>
      </c>
      <c r="O74" s="21">
        <f t="shared" si="18"/>
        <v>1</v>
      </c>
      <c r="Q74" s="64">
        <f t="shared" si="14"/>
        <v>119</v>
      </c>
      <c r="R74" s="33">
        <f t="shared" si="8"/>
        <v>-65559895.71572914</v>
      </c>
    </row>
    <row r="75" spans="3:18">
      <c r="C75" s="10"/>
      <c r="D75" s="22"/>
      <c r="E75" s="22"/>
      <c r="F75" s="22"/>
      <c r="G75" s="22"/>
      <c r="J75" s="22">
        <f t="shared" si="11"/>
        <v>120</v>
      </c>
      <c r="K75" s="20">
        <f t="shared" si="12"/>
        <v>528524.66290837934</v>
      </c>
      <c r="L75" s="20">
        <f t="shared" si="15"/>
        <v>813114.86601289129</v>
      </c>
      <c r="M75" s="20">
        <f t="shared" si="16"/>
        <v>-65559895.71572914</v>
      </c>
      <c r="N75" s="20">
        <f t="shared" si="17"/>
        <v>-69651005.367528483</v>
      </c>
      <c r="O75" s="21">
        <f t="shared" si="18"/>
        <v>1</v>
      </c>
      <c r="Q75" s="64">
        <f t="shared" si="14"/>
        <v>120</v>
      </c>
      <c r="R75" s="33">
        <f t="shared" si="8"/>
        <v>-69651005.367528483</v>
      </c>
    </row>
    <row r="76" spans="3:18">
      <c r="J76" s="22">
        <f t="shared" si="11"/>
        <v>121</v>
      </c>
      <c r="K76" s="20">
        <f t="shared" si="12"/>
        <v>539095.15616654698</v>
      </c>
      <c r="L76" s="20">
        <f t="shared" si="15"/>
        <v>829377.16333314916</v>
      </c>
      <c r="M76" s="20">
        <f t="shared" si="16"/>
        <v>-69651005.367528483</v>
      </c>
      <c r="N76" s="20">
        <f t="shared" si="17"/>
        <v>-73962932.799238056</v>
      </c>
      <c r="O76" s="21">
        <f t="shared" si="18"/>
        <v>1</v>
      </c>
      <c r="Q76" s="64">
        <f t="shared" si="14"/>
        <v>121</v>
      </c>
      <c r="R76" s="33">
        <f t="shared" si="8"/>
        <v>-73962932.799238056</v>
      </c>
    </row>
    <row r="77" spans="3:18">
      <c r="J77" s="22">
        <f t="shared" si="11"/>
        <v>122</v>
      </c>
      <c r="K77" s="20">
        <f t="shared" si="12"/>
        <v>549877.05928987789</v>
      </c>
      <c r="L77" s="20">
        <f t="shared" si="15"/>
        <v>845964.70659981214</v>
      </c>
      <c r="M77" s="20">
        <f t="shared" si="16"/>
        <v>-73962932.799238056</v>
      </c>
      <c r="N77" s="20">
        <f t="shared" si="17"/>
        <v>-78507044.145799786</v>
      </c>
      <c r="O77" s="21">
        <f t="shared" si="18"/>
        <v>1</v>
      </c>
      <c r="Q77" s="64">
        <f t="shared" si="14"/>
        <v>122</v>
      </c>
      <c r="R77" s="33">
        <f t="shared" si="8"/>
        <v>-78507044.145799786</v>
      </c>
    </row>
    <row r="78" spans="3:18">
      <c r="J78" s="22">
        <f t="shared" si="11"/>
        <v>123</v>
      </c>
      <c r="K78" s="20">
        <f t="shared" si="12"/>
        <v>560874.60047567543</v>
      </c>
      <c r="L78" s="20">
        <f t="shared" si="15"/>
        <v>862884.00073180837</v>
      </c>
      <c r="M78" s="20">
        <f t="shared" si="16"/>
        <v>-78507044.145799786</v>
      </c>
      <c r="N78" s="20">
        <f t="shared" si="17"/>
        <v>-83295280.353821591</v>
      </c>
      <c r="O78" s="21">
        <f t="shared" si="18"/>
        <v>1</v>
      </c>
      <c r="Q78" s="64">
        <f t="shared" si="14"/>
        <v>123</v>
      </c>
      <c r="R78" s="33">
        <f t="shared" si="8"/>
        <v>-83295280.353821591</v>
      </c>
    </row>
    <row r="79" spans="3:18">
      <c r="J79" s="22">
        <f t="shared" si="11"/>
        <v>124</v>
      </c>
      <c r="K79" s="20">
        <f t="shared" si="12"/>
        <v>572092.09248518897</v>
      </c>
      <c r="L79" s="20">
        <f t="shared" si="15"/>
        <v>880141.6807464445</v>
      </c>
      <c r="M79" s="20">
        <f t="shared" si="16"/>
        <v>-83295280.353821591</v>
      </c>
      <c r="N79" s="20">
        <f t="shared" si="17"/>
        <v>-88340186.052259117</v>
      </c>
      <c r="O79" s="21">
        <f t="shared" si="18"/>
        <v>1</v>
      </c>
      <c r="Q79" s="64">
        <f t="shared" si="14"/>
        <v>124</v>
      </c>
      <c r="R79" s="33">
        <f t="shared" si="8"/>
        <v>-88340186.052259117</v>
      </c>
    </row>
    <row r="80" spans="3:18">
      <c r="J80" s="22">
        <f t="shared" si="11"/>
        <v>125</v>
      </c>
      <c r="K80" s="20">
        <f t="shared" si="12"/>
        <v>583533.93433489278</v>
      </c>
      <c r="L80" s="20">
        <f t="shared" si="15"/>
        <v>897744.5143613735</v>
      </c>
      <c r="M80" s="20">
        <f t="shared" si="16"/>
        <v>-88340186.052259117</v>
      </c>
      <c r="N80" s="20">
        <f t="shared" si="17"/>
        <v>-93654939.869233444</v>
      </c>
      <c r="O80" s="21">
        <f t="shared" si="18"/>
        <v>1</v>
      </c>
      <c r="Q80" s="64">
        <f t="shared" si="14"/>
        <v>125</v>
      </c>
      <c r="R80" s="33">
        <f t="shared" si="8"/>
        <v>-93654939.869233444</v>
      </c>
    </row>
    <row r="81" spans="10:18">
      <c r="J81" s="22">
        <f t="shared" si="11"/>
        <v>126</v>
      </c>
      <c r="K81" s="20">
        <f t="shared" si="12"/>
        <v>595204.61302159063</v>
      </c>
      <c r="L81" s="20">
        <f t="shared" ref="L81:L144" si="19">K81/(1-$D$13)</f>
        <v>915699.40464860096</v>
      </c>
      <c r="M81" s="20">
        <f t="shared" ref="M81:M144" si="20">N80</f>
        <v>-93654939.869233444</v>
      </c>
      <c r="N81" s="20">
        <f t="shared" ref="N81:N144" si="21">M81*(1+ROA_Post)-L81</f>
        <v>-99253386.26734373</v>
      </c>
      <c r="O81" s="21">
        <f t="shared" ref="O81:O144" si="22">IF(N81&lt;0,1,0)</f>
        <v>1</v>
      </c>
      <c r="Q81" s="64">
        <f t="shared" si="14"/>
        <v>126</v>
      </c>
      <c r="R81" s="33">
        <f t="shared" si="8"/>
        <v>-99253386.26734373</v>
      </c>
    </row>
    <row r="82" spans="10:18">
      <c r="J82" s="22">
        <f t="shared" si="11"/>
        <v>127</v>
      </c>
      <c r="K82" s="20">
        <f t="shared" si="12"/>
        <v>607108.70528202248</v>
      </c>
      <c r="L82" s="20">
        <f t="shared" si="19"/>
        <v>934013.39274157304</v>
      </c>
      <c r="M82" s="20">
        <f t="shared" si="20"/>
        <v>-99253386.26734373</v>
      </c>
      <c r="N82" s="20">
        <f t="shared" si="21"/>
        <v>-105150068.97345249</v>
      </c>
      <c r="O82" s="21">
        <f t="shared" si="22"/>
        <v>1</v>
      </c>
      <c r="Q82" s="64">
        <f t="shared" si="14"/>
        <v>127</v>
      </c>
      <c r="R82" s="33">
        <f t="shared" si="8"/>
        <v>-105150068.97345249</v>
      </c>
    </row>
    <row r="83" spans="10:18">
      <c r="J83" s="22">
        <f t="shared" si="11"/>
        <v>128</v>
      </c>
      <c r="K83" s="20">
        <f t="shared" si="12"/>
        <v>619250.87938766298</v>
      </c>
      <c r="L83" s="20">
        <f t="shared" si="19"/>
        <v>952693.66059640457</v>
      </c>
      <c r="M83" s="20">
        <f t="shared" si="20"/>
        <v>-105150068.97345249</v>
      </c>
      <c r="N83" s="20">
        <f t="shared" si="21"/>
        <v>-111360266.08272152</v>
      </c>
      <c r="O83" s="21">
        <f t="shared" si="22"/>
        <v>1</v>
      </c>
      <c r="Q83" s="64">
        <f t="shared" si="14"/>
        <v>128</v>
      </c>
      <c r="R83" s="33">
        <f t="shared" si="8"/>
        <v>-111360266.08272152</v>
      </c>
    </row>
    <row r="84" spans="10:18">
      <c r="J84" s="22">
        <f t="shared" si="11"/>
        <v>129</v>
      </c>
      <c r="K84" s="20">
        <f t="shared" si="12"/>
        <v>631635.89697541622</v>
      </c>
      <c r="L84" s="20">
        <f t="shared" si="19"/>
        <v>971747.53380833264</v>
      </c>
      <c r="M84" s="20">
        <f t="shared" si="20"/>
        <v>-111360266.08272152</v>
      </c>
      <c r="N84" s="20">
        <f t="shared" si="21"/>
        <v>-117900026.92066593</v>
      </c>
      <c r="O84" s="21">
        <f t="shared" si="22"/>
        <v>1</v>
      </c>
      <c r="Q84" s="64">
        <f t="shared" si="14"/>
        <v>129</v>
      </c>
      <c r="R84" s="33">
        <f t="shared" si="8"/>
        <v>-117900026.92066593</v>
      </c>
    </row>
    <row r="85" spans="10:18">
      <c r="J85" s="22">
        <f t="shared" si="11"/>
        <v>130</v>
      </c>
      <c r="K85" s="20">
        <f t="shared" si="12"/>
        <v>644268.6149149246</v>
      </c>
      <c r="L85" s="20">
        <f t="shared" si="19"/>
        <v>991182.48448449932</v>
      </c>
      <c r="M85" s="20">
        <f t="shared" si="20"/>
        <v>-117900026.92066593</v>
      </c>
      <c r="N85" s="20">
        <f t="shared" si="21"/>
        <v>-124786210.75118373</v>
      </c>
      <c r="O85" s="21">
        <f t="shared" si="22"/>
        <v>1</v>
      </c>
      <c r="Q85" s="64">
        <f t="shared" si="14"/>
        <v>130</v>
      </c>
      <c r="R85" s="33">
        <f t="shared" si="8"/>
        <v>-124786210.75118373</v>
      </c>
    </row>
    <row r="86" spans="10:18">
      <c r="J86" s="22">
        <f t="shared" si="11"/>
        <v>131</v>
      </c>
      <c r="K86" s="20">
        <f t="shared" si="12"/>
        <v>657153.98721322312</v>
      </c>
      <c r="L86" s="20">
        <f t="shared" si="19"/>
        <v>1011006.1341741894</v>
      </c>
      <c r="M86" s="20">
        <f t="shared" si="20"/>
        <v>-124786210.75118373</v>
      </c>
      <c r="N86" s="20">
        <f t="shared" si="21"/>
        <v>-132036527.42291711</v>
      </c>
      <c r="O86" s="21">
        <f t="shared" si="22"/>
        <v>1</v>
      </c>
      <c r="Q86" s="64">
        <f t="shared" si="14"/>
        <v>131</v>
      </c>
      <c r="R86" s="33">
        <f t="shared" si="8"/>
        <v>-132036527.42291711</v>
      </c>
    </row>
    <row r="87" spans="10:18">
      <c r="J87" s="22">
        <f t="shared" si="11"/>
        <v>132</v>
      </c>
      <c r="K87" s="20">
        <f t="shared" si="12"/>
        <v>670297.06695748761</v>
      </c>
      <c r="L87" s="20">
        <f t="shared" si="19"/>
        <v>1031226.2568576732</v>
      </c>
      <c r="M87" s="20">
        <f t="shared" si="20"/>
        <v>-132036527.42291711</v>
      </c>
      <c r="N87" s="20">
        <f t="shared" si="21"/>
        <v>-139669580.05092064</v>
      </c>
      <c r="O87" s="21">
        <f t="shared" si="22"/>
        <v>1</v>
      </c>
      <c r="Q87" s="64">
        <f t="shared" si="14"/>
        <v>132</v>
      </c>
      <c r="R87" s="33">
        <f t="shared" ref="R87:R116" si="23">VLOOKUP(Q87,J87:O277,5)</f>
        <v>-139669580.05092064</v>
      </c>
    </row>
    <row r="88" spans="10:18">
      <c r="J88" s="22">
        <f t="shared" ref="J88:J151" si="24">J87+1</f>
        <v>133</v>
      </c>
      <c r="K88" s="20">
        <f t="shared" ref="K88:K151" si="25">K87*(1+$D$12)</f>
        <v>683703.00829663733</v>
      </c>
      <c r="L88" s="20">
        <f t="shared" si="19"/>
        <v>1051850.7819948266</v>
      </c>
      <c r="M88" s="20">
        <f t="shared" si="20"/>
        <v>-139669580.05092064</v>
      </c>
      <c r="N88" s="20">
        <f t="shared" si="21"/>
        <v>-147704909.8354615</v>
      </c>
      <c r="O88" s="21">
        <f t="shared" si="22"/>
        <v>1</v>
      </c>
      <c r="Q88" s="64">
        <f t="shared" ref="Q88:Q116" si="26">Q87+1</f>
        <v>133</v>
      </c>
      <c r="R88" s="33">
        <f t="shared" si="23"/>
        <v>-147704909.8354615</v>
      </c>
    </row>
    <row r="89" spans="10:18">
      <c r="J89" s="22">
        <f t="shared" si="24"/>
        <v>134</v>
      </c>
      <c r="K89" s="20">
        <f t="shared" si="25"/>
        <v>697377.06846257008</v>
      </c>
      <c r="L89" s="20">
        <f t="shared" si="19"/>
        <v>1072887.7976347231</v>
      </c>
      <c r="M89" s="20">
        <f t="shared" si="20"/>
        <v>-147704909.8354615</v>
      </c>
      <c r="N89" s="20">
        <f t="shared" si="21"/>
        <v>-156163043.12486929</v>
      </c>
      <c r="O89" s="21">
        <f t="shared" si="22"/>
        <v>1</v>
      </c>
      <c r="Q89" s="64">
        <f t="shared" si="26"/>
        <v>134</v>
      </c>
      <c r="R89" s="33">
        <f t="shared" si="23"/>
        <v>-156163043.12486929</v>
      </c>
    </row>
    <row r="90" spans="10:18">
      <c r="J90" s="22">
        <f t="shared" si="24"/>
        <v>135</v>
      </c>
      <c r="K90" s="20">
        <f t="shared" si="25"/>
        <v>711324.60983182152</v>
      </c>
      <c r="L90" s="20">
        <f t="shared" si="19"/>
        <v>1094345.5535874176</v>
      </c>
      <c r="M90" s="20">
        <f t="shared" si="20"/>
        <v>-156163043.12486929</v>
      </c>
      <c r="N90" s="20">
        <f t="shared" si="21"/>
        <v>-165065540.83470017</v>
      </c>
      <c r="O90" s="21">
        <f t="shared" si="22"/>
        <v>1</v>
      </c>
      <c r="Q90" s="64">
        <f t="shared" si="26"/>
        <v>135</v>
      </c>
      <c r="R90" s="33">
        <f t="shared" si="23"/>
        <v>-165065540.83470017</v>
      </c>
    </row>
    <row r="91" spans="10:18">
      <c r="J91" s="22">
        <f t="shared" si="24"/>
        <v>136</v>
      </c>
      <c r="K91" s="20">
        <f t="shared" si="25"/>
        <v>725551.10202845791</v>
      </c>
      <c r="L91" s="20">
        <f t="shared" si="19"/>
        <v>1116232.4646591661</v>
      </c>
      <c r="M91" s="20">
        <f t="shared" si="20"/>
        <v>-165065540.83470017</v>
      </c>
      <c r="N91" s="20">
        <f t="shared" si="21"/>
        <v>-174435050.34109434</v>
      </c>
      <c r="O91" s="21">
        <f t="shared" si="22"/>
        <v>1</v>
      </c>
      <c r="Q91" s="64">
        <f t="shared" si="26"/>
        <v>136</v>
      </c>
      <c r="R91" s="33">
        <f t="shared" si="23"/>
        <v>-174435050.34109434</v>
      </c>
    </row>
    <row r="92" spans="10:18">
      <c r="J92" s="22">
        <f t="shared" si="24"/>
        <v>137</v>
      </c>
      <c r="K92" s="20">
        <f t="shared" si="25"/>
        <v>740062.12406902714</v>
      </c>
      <c r="L92" s="20">
        <f t="shared" si="19"/>
        <v>1138557.1139523494</v>
      </c>
      <c r="M92" s="20">
        <f t="shared" si="20"/>
        <v>-174435050.34109434</v>
      </c>
      <c r="N92" s="20">
        <f t="shared" si="21"/>
        <v>-184295359.97210142</v>
      </c>
      <c r="O92" s="21">
        <f t="shared" si="22"/>
        <v>1</v>
      </c>
      <c r="Q92" s="64">
        <f t="shared" si="26"/>
        <v>137</v>
      </c>
      <c r="R92" s="33">
        <f t="shared" si="23"/>
        <v>-184295359.97210142</v>
      </c>
    </row>
    <row r="93" spans="10:18">
      <c r="J93" s="22">
        <f t="shared" si="24"/>
        <v>138</v>
      </c>
      <c r="K93" s="20">
        <f t="shared" si="25"/>
        <v>754863.36655040772</v>
      </c>
      <c r="L93" s="20">
        <f t="shared" si="19"/>
        <v>1161328.2562313965</v>
      </c>
      <c r="M93" s="20">
        <f t="shared" si="20"/>
        <v>-184295359.97210142</v>
      </c>
      <c r="N93" s="20">
        <f t="shared" si="21"/>
        <v>-194671456.22693789</v>
      </c>
      <c r="O93" s="21">
        <f t="shared" si="22"/>
        <v>1</v>
      </c>
      <c r="Q93" s="64">
        <f t="shared" si="26"/>
        <v>138</v>
      </c>
      <c r="R93" s="33">
        <f t="shared" si="23"/>
        <v>-194671456.22693789</v>
      </c>
    </row>
    <row r="94" spans="10:18">
      <c r="J94" s="22">
        <f t="shared" si="24"/>
        <v>139</v>
      </c>
      <c r="K94" s="20">
        <f t="shared" si="25"/>
        <v>769960.63388141594</v>
      </c>
      <c r="L94" s="20">
        <f t="shared" si="19"/>
        <v>1184554.8213560246</v>
      </c>
      <c r="M94" s="20">
        <f t="shared" si="20"/>
        <v>-194671456.22693789</v>
      </c>
      <c r="N94" s="20">
        <f t="shared" si="21"/>
        <v>-205589583.85964081</v>
      </c>
      <c r="O94" s="21">
        <f t="shared" si="22"/>
        <v>1</v>
      </c>
      <c r="Q94" s="64">
        <f t="shared" si="26"/>
        <v>139</v>
      </c>
      <c r="R94" s="33">
        <f t="shared" si="23"/>
        <v>-205589583.85964081</v>
      </c>
    </row>
    <row r="95" spans="10:18">
      <c r="J95" s="22">
        <f t="shared" si="24"/>
        <v>140</v>
      </c>
      <c r="K95" s="20">
        <f t="shared" si="25"/>
        <v>785359.84655904432</v>
      </c>
      <c r="L95" s="20">
        <f t="shared" si="19"/>
        <v>1208245.9177831451</v>
      </c>
      <c r="M95" s="20">
        <f t="shared" si="20"/>
        <v>-205589583.85964081</v>
      </c>
      <c r="N95" s="20">
        <f t="shared" si="21"/>
        <v>-217077308.970406</v>
      </c>
      <c r="O95" s="21">
        <f t="shared" si="22"/>
        <v>1</v>
      </c>
      <c r="Q95" s="64">
        <f t="shared" si="26"/>
        <v>140</v>
      </c>
      <c r="R95" s="33">
        <f t="shared" si="23"/>
        <v>-217077308.970406</v>
      </c>
    </row>
    <row r="96" spans="10:18">
      <c r="J96" s="22">
        <f t="shared" si="24"/>
        <v>141</v>
      </c>
      <c r="K96" s="20">
        <f t="shared" si="25"/>
        <v>801067.04349022522</v>
      </c>
      <c r="L96" s="20">
        <f t="shared" si="19"/>
        <v>1232410.8361388079</v>
      </c>
      <c r="M96" s="20">
        <f t="shared" si="20"/>
        <v>-217077308.970406</v>
      </c>
      <c r="N96" s="20">
        <f t="shared" si="21"/>
        <v>-229163585.25506511</v>
      </c>
      <c r="O96" s="21">
        <f t="shared" si="22"/>
        <v>1</v>
      </c>
      <c r="Q96" s="64">
        <f t="shared" si="26"/>
        <v>141</v>
      </c>
      <c r="R96" s="33">
        <f t="shared" si="23"/>
        <v>-229163585.25506511</v>
      </c>
    </row>
    <row r="97" spans="10:18">
      <c r="J97" s="22">
        <f t="shared" si="24"/>
        <v>142</v>
      </c>
      <c r="K97" s="20">
        <f t="shared" si="25"/>
        <v>817088.38436002971</v>
      </c>
      <c r="L97" s="20">
        <f t="shared" si="19"/>
        <v>1257059.0528615841</v>
      </c>
      <c r="M97" s="20">
        <f t="shared" si="20"/>
        <v>-229163585.25506511</v>
      </c>
      <c r="N97" s="20">
        <f t="shared" si="21"/>
        <v>-241878823.57067996</v>
      </c>
      <c r="O97" s="21">
        <f t="shared" si="22"/>
        <v>1</v>
      </c>
      <c r="Q97" s="64">
        <f t="shared" si="26"/>
        <v>142</v>
      </c>
      <c r="R97" s="33">
        <f t="shared" si="23"/>
        <v>-241878823.57067996</v>
      </c>
    </row>
    <row r="98" spans="10:18">
      <c r="J98" s="22">
        <f t="shared" si="24"/>
        <v>143</v>
      </c>
      <c r="K98" s="20">
        <f t="shared" si="25"/>
        <v>833430.15204723028</v>
      </c>
      <c r="L98" s="20">
        <f t="shared" si="19"/>
        <v>1282200.2339188159</v>
      </c>
      <c r="M98" s="20">
        <f t="shared" si="20"/>
        <v>-241878823.57067996</v>
      </c>
      <c r="N98" s="20">
        <f t="shared" si="21"/>
        <v>-255254964.98313278</v>
      </c>
      <c r="O98" s="21">
        <f t="shared" si="22"/>
        <v>1</v>
      </c>
      <c r="Q98" s="64">
        <f t="shared" si="26"/>
        <v>143</v>
      </c>
      <c r="R98" s="33">
        <f t="shared" si="23"/>
        <v>-255254964.98313278</v>
      </c>
    </row>
    <row r="99" spans="10:18">
      <c r="J99" s="22">
        <f t="shared" si="24"/>
        <v>144</v>
      </c>
      <c r="K99" s="20">
        <f t="shared" si="25"/>
        <v>850098.75508817495</v>
      </c>
      <c r="L99" s="20">
        <f t="shared" si="19"/>
        <v>1307844.2385971921</v>
      </c>
      <c r="M99" s="20">
        <f t="shared" si="20"/>
        <v>-255254964.98313278</v>
      </c>
      <c r="N99" s="20">
        <f t="shared" si="21"/>
        <v>-269325557.47088665</v>
      </c>
      <c r="O99" s="21">
        <f t="shared" si="22"/>
        <v>1</v>
      </c>
      <c r="Q99" s="64">
        <f t="shared" si="26"/>
        <v>144</v>
      </c>
      <c r="R99" s="33">
        <f t="shared" si="23"/>
        <v>-269325557.47088665</v>
      </c>
    </row>
    <row r="100" spans="10:18">
      <c r="J100" s="22">
        <f t="shared" si="24"/>
        <v>145</v>
      </c>
      <c r="K100" s="20">
        <f t="shared" si="25"/>
        <v>867100.73018993845</v>
      </c>
      <c r="L100" s="20">
        <f t="shared" si="19"/>
        <v>1334001.1233691361</v>
      </c>
      <c r="M100" s="20">
        <f t="shared" si="20"/>
        <v>-269325557.47088665</v>
      </c>
      <c r="N100" s="20">
        <f t="shared" si="21"/>
        <v>-284125836.46780014</v>
      </c>
      <c r="O100" s="21">
        <f t="shared" si="22"/>
        <v>1</v>
      </c>
      <c r="Q100" s="64">
        <f t="shared" si="26"/>
        <v>145</v>
      </c>
      <c r="R100" s="33">
        <f t="shared" si="23"/>
        <v>-284125836.46780014</v>
      </c>
    </row>
    <row r="101" spans="10:18">
      <c r="J101" s="22">
        <f t="shared" si="24"/>
        <v>146</v>
      </c>
      <c r="K101" s="20">
        <f t="shared" si="25"/>
        <v>884442.74479373719</v>
      </c>
      <c r="L101" s="20">
        <f t="shared" si="19"/>
        <v>1360681.1458365186</v>
      </c>
      <c r="M101" s="20">
        <f t="shared" si="20"/>
        <v>-284125836.46780014</v>
      </c>
      <c r="N101" s="20">
        <f t="shared" si="21"/>
        <v>-299692809.43702668</v>
      </c>
      <c r="O101" s="21">
        <f t="shared" si="22"/>
        <v>1</v>
      </c>
      <c r="Q101" s="64">
        <f t="shared" si="26"/>
        <v>146</v>
      </c>
      <c r="R101" s="33">
        <f t="shared" si="23"/>
        <v>-299692809.43702668</v>
      </c>
    </row>
    <row r="102" spans="10:18">
      <c r="J102" s="22">
        <f t="shared" si="24"/>
        <v>147</v>
      </c>
      <c r="K102" s="20">
        <f t="shared" si="25"/>
        <v>902131.59968961193</v>
      </c>
      <c r="L102" s="20">
        <f t="shared" si="19"/>
        <v>1387894.768753249</v>
      </c>
      <c r="M102" s="20">
        <f t="shared" si="20"/>
        <v>-299692809.43702668</v>
      </c>
      <c r="N102" s="20">
        <f t="shared" si="21"/>
        <v>-316065344.67763126</v>
      </c>
      <c r="O102" s="21">
        <f t="shared" si="22"/>
        <v>1</v>
      </c>
      <c r="Q102" s="64">
        <f t="shared" si="26"/>
        <v>147</v>
      </c>
      <c r="R102" s="33">
        <f t="shared" si="23"/>
        <v>-316065344.67763126</v>
      </c>
    </row>
    <row r="103" spans="10:18">
      <c r="J103" s="22">
        <f t="shared" si="24"/>
        <v>148</v>
      </c>
      <c r="K103" s="20">
        <f t="shared" si="25"/>
        <v>920174.23168340418</v>
      </c>
      <c r="L103" s="20">
        <f t="shared" si="19"/>
        <v>1415652.664128314</v>
      </c>
      <c r="M103" s="20">
        <f t="shared" si="20"/>
        <v>-316065344.67763126</v>
      </c>
      <c r="N103" s="20">
        <f t="shared" si="21"/>
        <v>-333284264.57564116</v>
      </c>
      <c r="O103" s="21">
        <f t="shared" si="22"/>
        <v>1</v>
      </c>
      <c r="Q103" s="64">
        <f t="shared" si="26"/>
        <v>148</v>
      </c>
      <c r="R103" s="33">
        <f t="shared" si="23"/>
        <v>-333284264.57564116</v>
      </c>
    </row>
    <row r="104" spans="10:18">
      <c r="J104" s="22">
        <f t="shared" si="24"/>
        <v>149</v>
      </c>
      <c r="K104" s="20">
        <f t="shared" si="25"/>
        <v>938577.71631707228</v>
      </c>
      <c r="L104" s="20">
        <f t="shared" si="19"/>
        <v>1443965.7174108804</v>
      </c>
      <c r="M104" s="20">
        <f t="shared" si="20"/>
        <v>-333284264.57564116</v>
      </c>
      <c r="N104" s="20">
        <f t="shared" si="21"/>
        <v>-351392443.52183408</v>
      </c>
      <c r="O104" s="21">
        <f t="shared" si="22"/>
        <v>1</v>
      </c>
      <c r="Q104" s="64">
        <f t="shared" si="26"/>
        <v>149</v>
      </c>
      <c r="R104" s="33">
        <f t="shared" si="23"/>
        <v>-351392443.52183408</v>
      </c>
    </row>
    <row r="105" spans="10:18">
      <c r="J105" s="22">
        <f t="shared" si="24"/>
        <v>150</v>
      </c>
      <c r="K105" s="20">
        <f t="shared" si="25"/>
        <v>957349.27064341377</v>
      </c>
      <c r="L105" s="20">
        <f t="shared" si="19"/>
        <v>1472845.0317590979</v>
      </c>
      <c r="M105" s="20">
        <f t="shared" si="20"/>
        <v>-351392443.52183408</v>
      </c>
      <c r="N105" s="20">
        <f t="shared" si="21"/>
        <v>-370434910.72968489</v>
      </c>
      <c r="O105" s="21">
        <f t="shared" si="22"/>
        <v>1</v>
      </c>
      <c r="Q105" s="64">
        <f t="shared" si="26"/>
        <v>150</v>
      </c>
      <c r="R105" s="33">
        <f t="shared" si="23"/>
        <v>-370434910.72968489</v>
      </c>
    </row>
    <row r="106" spans="10:18">
      <c r="J106" s="22">
        <f t="shared" si="24"/>
        <v>151</v>
      </c>
      <c r="K106" s="20">
        <f t="shared" si="25"/>
        <v>976496.25605628209</v>
      </c>
      <c r="L106" s="20">
        <f t="shared" si="19"/>
        <v>1502301.9323942801</v>
      </c>
      <c r="M106" s="20">
        <f t="shared" si="20"/>
        <v>-370434910.72968489</v>
      </c>
      <c r="N106" s="20">
        <f t="shared" si="21"/>
        <v>-390458958.1985634</v>
      </c>
      <c r="O106" s="21">
        <f t="shared" si="22"/>
        <v>1</v>
      </c>
      <c r="Q106" s="64">
        <f t="shared" si="26"/>
        <v>151</v>
      </c>
      <c r="R106" s="33">
        <f t="shared" si="23"/>
        <v>-390458958.1985634</v>
      </c>
    </row>
    <row r="107" spans="10:18">
      <c r="J107" s="22">
        <f t="shared" si="24"/>
        <v>152</v>
      </c>
      <c r="K107" s="20">
        <f t="shared" si="25"/>
        <v>996026.18117740774</v>
      </c>
      <c r="L107" s="20">
        <f t="shared" si="19"/>
        <v>1532347.9710421658</v>
      </c>
      <c r="M107" s="20">
        <f t="shared" si="20"/>
        <v>-390458958.1985634</v>
      </c>
      <c r="N107" s="20">
        <f t="shared" si="21"/>
        <v>-411514254.07953376</v>
      </c>
      <c r="O107" s="21">
        <f t="shared" si="22"/>
        <v>1</v>
      </c>
      <c r="Q107" s="64">
        <f t="shared" si="26"/>
        <v>152</v>
      </c>
      <c r="R107" s="33">
        <f t="shared" si="23"/>
        <v>-411514254.07953376</v>
      </c>
    </row>
    <row r="108" spans="10:18">
      <c r="J108" s="22">
        <f t="shared" si="24"/>
        <v>153</v>
      </c>
      <c r="K108" s="20">
        <f t="shared" si="25"/>
        <v>1015946.704800956</v>
      </c>
      <c r="L108" s="20">
        <f t="shared" si="19"/>
        <v>1562994.930463009</v>
      </c>
      <c r="M108" s="20">
        <f t="shared" si="20"/>
        <v>-411514254.07953376</v>
      </c>
      <c r="N108" s="20">
        <f t="shared" si="21"/>
        <v>-433652961.71397346</v>
      </c>
      <c r="O108" s="21">
        <f t="shared" si="22"/>
        <v>1</v>
      </c>
      <c r="Q108" s="64">
        <f t="shared" si="26"/>
        <v>153</v>
      </c>
      <c r="R108" s="33">
        <f t="shared" si="23"/>
        <v>-433652961.71397346</v>
      </c>
    </row>
    <row r="109" spans="10:18">
      <c r="J109" s="22">
        <f t="shared" si="24"/>
        <v>154</v>
      </c>
      <c r="K109" s="20">
        <f t="shared" si="25"/>
        <v>1036265.6388969751</v>
      </c>
      <c r="L109" s="20">
        <f t="shared" si="19"/>
        <v>1594254.8290722694</v>
      </c>
      <c r="M109" s="20">
        <f t="shared" si="20"/>
        <v>-433652961.71397346</v>
      </c>
      <c r="N109" s="20">
        <f t="shared" si="21"/>
        <v>-456929864.62874442</v>
      </c>
      <c r="O109" s="21">
        <f t="shared" si="22"/>
        <v>1</v>
      </c>
      <c r="Q109" s="64">
        <f t="shared" si="26"/>
        <v>154</v>
      </c>
      <c r="R109" s="33">
        <f t="shared" si="23"/>
        <v>-456929864.62874442</v>
      </c>
    </row>
    <row r="110" spans="10:18">
      <c r="J110" s="22">
        <f t="shared" si="24"/>
        <v>155</v>
      </c>
      <c r="K110" s="20">
        <f t="shared" si="25"/>
        <v>1056990.9516749147</v>
      </c>
      <c r="L110" s="20">
        <f t="shared" si="19"/>
        <v>1626139.9256537149</v>
      </c>
      <c r="M110" s="20">
        <f t="shared" si="20"/>
        <v>-456929864.62874442</v>
      </c>
      <c r="N110" s="20">
        <f t="shared" si="21"/>
        <v>-481402497.78583539</v>
      </c>
      <c r="O110" s="21">
        <f t="shared" si="22"/>
        <v>1</v>
      </c>
      <c r="Q110" s="64">
        <f t="shared" si="26"/>
        <v>155</v>
      </c>
      <c r="R110" s="33">
        <f t="shared" si="23"/>
        <v>-481402497.78583539</v>
      </c>
    </row>
    <row r="111" spans="10:18">
      <c r="J111" s="22">
        <f t="shared" si="24"/>
        <v>156</v>
      </c>
      <c r="K111" s="20">
        <f t="shared" si="25"/>
        <v>1078130.7707084131</v>
      </c>
      <c r="L111" s="20">
        <f t="shared" si="19"/>
        <v>1658662.7241667893</v>
      </c>
      <c r="M111" s="20">
        <f t="shared" si="20"/>
        <v>-481402497.78583539</v>
      </c>
      <c r="N111" s="20">
        <f t="shared" si="21"/>
        <v>-507131285.39929396</v>
      </c>
      <c r="O111" s="21">
        <f t="shared" si="22"/>
        <v>1</v>
      </c>
      <c r="Q111" s="64">
        <f t="shared" si="26"/>
        <v>156</v>
      </c>
      <c r="R111" s="33">
        <f t="shared" si="23"/>
        <v>-507131285.39929396</v>
      </c>
    </row>
    <row r="112" spans="10:18">
      <c r="J112" s="22">
        <f t="shared" si="24"/>
        <v>157</v>
      </c>
      <c r="K112" s="20">
        <f t="shared" si="25"/>
        <v>1099693.3861225813</v>
      </c>
      <c r="L112" s="20">
        <f t="shared" si="19"/>
        <v>1691835.978650125</v>
      </c>
      <c r="M112" s="20">
        <f t="shared" si="20"/>
        <v>-507131285.39929396</v>
      </c>
      <c r="N112" s="20">
        <f t="shared" si="21"/>
        <v>-534179685.64790881</v>
      </c>
      <c r="O112" s="21">
        <f t="shared" si="22"/>
        <v>1</v>
      </c>
      <c r="Q112" s="64">
        <f t="shared" si="26"/>
        <v>157</v>
      </c>
      <c r="R112" s="33">
        <f t="shared" si="23"/>
        <v>-534179685.64790881</v>
      </c>
    </row>
    <row r="113" spans="10:18">
      <c r="J113" s="22">
        <f t="shared" si="24"/>
        <v>158</v>
      </c>
      <c r="K113" s="20">
        <f t="shared" si="25"/>
        <v>1121687.253845033</v>
      </c>
      <c r="L113" s="20">
        <f t="shared" si="19"/>
        <v>1725672.6982231278</v>
      </c>
      <c r="M113" s="20">
        <f t="shared" si="20"/>
        <v>-534179685.64790881</v>
      </c>
      <c r="N113" s="20">
        <f t="shared" si="21"/>
        <v>-562614342.6285274</v>
      </c>
      <c r="O113" s="21">
        <f t="shared" si="22"/>
        <v>1</v>
      </c>
      <c r="Q113" s="64">
        <f t="shared" si="26"/>
        <v>158</v>
      </c>
      <c r="R113" s="33">
        <f t="shared" si="23"/>
        <v>-562614342.6285274</v>
      </c>
    </row>
    <row r="114" spans="10:18">
      <c r="J114" s="22">
        <f t="shared" si="24"/>
        <v>159</v>
      </c>
      <c r="K114" s="20">
        <f t="shared" si="25"/>
        <v>1144120.9989219336</v>
      </c>
      <c r="L114" s="20">
        <f t="shared" si="19"/>
        <v>1760186.15218759</v>
      </c>
      <c r="M114" s="20">
        <f t="shared" si="20"/>
        <v>-562614342.6285274</v>
      </c>
      <c r="N114" s="20">
        <f t="shared" si="21"/>
        <v>-592505245.91214144</v>
      </c>
      <c r="O114" s="21">
        <f t="shared" si="22"/>
        <v>1</v>
      </c>
      <c r="Q114" s="64">
        <f t="shared" si="26"/>
        <v>159</v>
      </c>
      <c r="R114" s="33">
        <f t="shared" si="23"/>
        <v>-592505245.91214144</v>
      </c>
    </row>
    <row r="115" spans="10:18">
      <c r="J115" s="22">
        <f t="shared" si="24"/>
        <v>160</v>
      </c>
      <c r="K115" s="20">
        <f t="shared" si="25"/>
        <v>1167003.4189003722</v>
      </c>
      <c r="L115" s="20">
        <f t="shared" si="19"/>
        <v>1795389.8752313419</v>
      </c>
      <c r="M115" s="20">
        <f t="shared" si="20"/>
        <v>-592505245.91214144</v>
      </c>
      <c r="N115" s="20">
        <f t="shared" si="21"/>
        <v>-623925898.08297992</v>
      </c>
      <c r="O115" s="21">
        <f t="shared" si="22"/>
        <v>1</v>
      </c>
      <c r="Q115" s="64">
        <f t="shared" si="26"/>
        <v>160</v>
      </c>
      <c r="R115" s="33">
        <f t="shared" si="23"/>
        <v>-623925898.08297992</v>
      </c>
    </row>
    <row r="116" spans="10:18">
      <c r="J116" s="22">
        <f t="shared" si="24"/>
        <v>161</v>
      </c>
      <c r="K116" s="20">
        <f t="shared" si="25"/>
        <v>1190343.4872783797</v>
      </c>
      <c r="L116" s="20">
        <f t="shared" si="19"/>
        <v>1831297.6727359688</v>
      </c>
      <c r="M116" s="20">
        <f t="shared" si="20"/>
        <v>-623925898.08297992</v>
      </c>
      <c r="N116" s="20">
        <f t="shared" si="21"/>
        <v>-656953490.6598649</v>
      </c>
      <c r="O116" s="21">
        <f t="shared" si="22"/>
        <v>1</v>
      </c>
      <c r="Q116" s="64">
        <f t="shared" si="26"/>
        <v>161</v>
      </c>
      <c r="R116" s="33">
        <f t="shared" si="23"/>
        <v>-656953490.6598649</v>
      </c>
    </row>
    <row r="117" spans="10:18">
      <c r="J117" s="22">
        <f t="shared" si="24"/>
        <v>162</v>
      </c>
      <c r="K117" s="20">
        <f t="shared" si="25"/>
        <v>1214150.3570239474</v>
      </c>
      <c r="L117" s="20">
        <f t="shared" si="19"/>
        <v>1867923.6261906882</v>
      </c>
      <c r="M117" s="20">
        <f t="shared" si="20"/>
        <v>-656953490.6598649</v>
      </c>
      <c r="N117" s="20">
        <f t="shared" si="21"/>
        <v>-691669088.81904888</v>
      </c>
      <c r="O117" s="21">
        <f t="shared" si="22"/>
        <v>1</v>
      </c>
    </row>
    <row r="118" spans="10:18">
      <c r="J118" s="22">
        <f t="shared" si="24"/>
        <v>163</v>
      </c>
      <c r="K118" s="20">
        <f t="shared" si="25"/>
        <v>1238433.3641644265</v>
      </c>
      <c r="L118" s="20">
        <f t="shared" si="19"/>
        <v>1905282.0987145021</v>
      </c>
      <c r="M118" s="20">
        <f t="shared" si="20"/>
        <v>-691669088.81904888</v>
      </c>
      <c r="N118" s="20">
        <f t="shared" si="21"/>
        <v>-728157825.35871577</v>
      </c>
      <c r="O118" s="21">
        <f t="shared" si="22"/>
        <v>1</v>
      </c>
    </row>
    <row r="119" spans="10:18">
      <c r="J119" s="22">
        <f t="shared" si="24"/>
        <v>164</v>
      </c>
      <c r="K119" s="20">
        <f t="shared" si="25"/>
        <v>1263202.0314477149</v>
      </c>
      <c r="L119" s="20">
        <f t="shared" si="19"/>
        <v>1943387.740688792</v>
      </c>
      <c r="M119" s="20">
        <f t="shared" si="20"/>
        <v>-728157825.35871577</v>
      </c>
      <c r="N119" s="20">
        <f t="shared" si="21"/>
        <v>-766509104.36734045</v>
      </c>
      <c r="O119" s="21">
        <f t="shared" si="22"/>
        <v>1</v>
      </c>
    </row>
    <row r="120" spans="10:18">
      <c r="J120" s="22">
        <f t="shared" si="24"/>
        <v>165</v>
      </c>
      <c r="K120" s="20">
        <f t="shared" si="25"/>
        <v>1288466.0720766692</v>
      </c>
      <c r="L120" s="20">
        <f t="shared" si="19"/>
        <v>1982255.4955025679</v>
      </c>
      <c r="M120" s="20">
        <f t="shared" si="20"/>
        <v>-766509104.36734045</v>
      </c>
      <c r="N120" s="20">
        <f t="shared" si="21"/>
        <v>-806816815.08121014</v>
      </c>
      <c r="O120" s="21">
        <f t="shared" si="22"/>
        <v>1</v>
      </c>
    </row>
    <row r="121" spans="10:18">
      <c r="J121" s="22">
        <f t="shared" si="24"/>
        <v>166</v>
      </c>
      <c r="K121" s="20">
        <f t="shared" si="25"/>
        <v>1314235.3935182027</v>
      </c>
      <c r="L121" s="20">
        <f t="shared" si="19"/>
        <v>2021900.6054126194</v>
      </c>
      <c r="M121" s="20">
        <f t="shared" si="20"/>
        <v>-806816815.08121014</v>
      </c>
      <c r="N121" s="20">
        <f t="shared" si="21"/>
        <v>-849179556.44068325</v>
      </c>
      <c r="O121" s="21">
        <f t="shared" si="22"/>
        <v>1</v>
      </c>
    </row>
    <row r="122" spans="10:18">
      <c r="J122" s="22">
        <f t="shared" si="24"/>
        <v>167</v>
      </c>
      <c r="K122" s="20">
        <f t="shared" si="25"/>
        <v>1340520.1013885669</v>
      </c>
      <c r="L122" s="20">
        <f t="shared" si="19"/>
        <v>2062338.617520872</v>
      </c>
      <c r="M122" s="20">
        <f t="shared" si="20"/>
        <v>-849179556.44068325</v>
      </c>
      <c r="N122" s="20">
        <f t="shared" si="21"/>
        <v>-893700872.88023841</v>
      </c>
      <c r="O122" s="21">
        <f t="shared" si="22"/>
        <v>1</v>
      </c>
    </row>
    <row r="123" spans="10:18">
      <c r="J123" s="22">
        <f t="shared" si="24"/>
        <v>168</v>
      </c>
      <c r="K123" s="20">
        <f t="shared" si="25"/>
        <v>1367330.5034163382</v>
      </c>
      <c r="L123" s="20">
        <f t="shared" si="19"/>
        <v>2103585.3898712895</v>
      </c>
      <c r="M123" s="20">
        <f t="shared" si="20"/>
        <v>-893700872.88023841</v>
      </c>
      <c r="N123" s="20">
        <f t="shared" si="21"/>
        <v>-940489501.91412163</v>
      </c>
      <c r="O123" s="21">
        <f t="shared" si="22"/>
        <v>1</v>
      </c>
    </row>
    <row r="124" spans="10:18">
      <c r="J124" s="22">
        <f t="shared" si="24"/>
        <v>169</v>
      </c>
      <c r="K124" s="20">
        <f t="shared" si="25"/>
        <v>1394677.1134846651</v>
      </c>
      <c r="L124" s="20">
        <f t="shared" si="19"/>
        <v>2145657.0976687153</v>
      </c>
      <c r="M124" s="20">
        <f t="shared" si="20"/>
        <v>-940489501.91412163</v>
      </c>
      <c r="N124" s="20">
        <f t="shared" si="21"/>
        <v>-989659634.1074965</v>
      </c>
      <c r="O124" s="21">
        <f t="shared" si="22"/>
        <v>1</v>
      </c>
    </row>
    <row r="125" spans="10:18">
      <c r="J125" s="22">
        <f t="shared" si="24"/>
        <v>170</v>
      </c>
      <c r="K125" s="20">
        <f t="shared" si="25"/>
        <v>1422570.6557543583</v>
      </c>
      <c r="L125" s="20">
        <f t="shared" si="19"/>
        <v>2188570.2396220895</v>
      </c>
      <c r="M125" s="20">
        <f t="shared" si="20"/>
        <v>-989659634.1074965</v>
      </c>
      <c r="N125" s="20">
        <f t="shared" si="21"/>
        <v>-1041331186.0524935</v>
      </c>
      <c r="O125" s="21">
        <f t="shared" si="22"/>
        <v>1</v>
      </c>
    </row>
    <row r="126" spans="10:18">
      <c r="J126" s="22">
        <f t="shared" si="24"/>
        <v>171</v>
      </c>
      <c r="K126" s="20">
        <f t="shared" si="25"/>
        <v>1451022.0688694455</v>
      </c>
      <c r="L126" s="20">
        <f t="shared" si="19"/>
        <v>2232341.6444145315</v>
      </c>
      <c r="M126" s="20">
        <f t="shared" si="20"/>
        <v>-1041331186.0524935</v>
      </c>
      <c r="N126" s="20">
        <f t="shared" si="21"/>
        <v>-1095630086.9995327</v>
      </c>
      <c r="O126" s="21">
        <f t="shared" si="22"/>
        <v>1</v>
      </c>
    </row>
    <row r="127" spans="10:18">
      <c r="J127" s="22">
        <f t="shared" si="24"/>
        <v>172</v>
      </c>
      <c r="K127" s="20">
        <f t="shared" si="25"/>
        <v>1480042.5102468345</v>
      </c>
      <c r="L127" s="20">
        <f t="shared" si="19"/>
        <v>2276988.4773028223</v>
      </c>
      <c r="M127" s="20">
        <f t="shared" si="20"/>
        <v>-1095630086.9995327</v>
      </c>
      <c r="N127" s="20">
        <f t="shared" si="21"/>
        <v>-1152688579.8268123</v>
      </c>
      <c r="O127" s="21">
        <f t="shared" si="22"/>
        <v>1</v>
      </c>
    </row>
    <row r="128" spans="10:18">
      <c r="J128" s="22">
        <f t="shared" si="24"/>
        <v>173</v>
      </c>
      <c r="K128" s="20">
        <f t="shared" si="25"/>
        <v>1509643.3604517712</v>
      </c>
      <c r="L128" s="20">
        <f t="shared" si="19"/>
        <v>2322528.2468488785</v>
      </c>
      <c r="M128" s="20">
        <f t="shared" si="20"/>
        <v>-1152688579.8268123</v>
      </c>
      <c r="N128" s="20">
        <f t="shared" si="21"/>
        <v>-1212645537.0650017</v>
      </c>
      <c r="O128" s="21">
        <f t="shared" si="22"/>
        <v>1</v>
      </c>
    </row>
    <row r="129" spans="10:15">
      <c r="J129" s="22">
        <f t="shared" si="24"/>
        <v>174</v>
      </c>
      <c r="K129" s="20">
        <f t="shared" si="25"/>
        <v>1539836.2276608066</v>
      </c>
      <c r="L129" s="20">
        <f t="shared" si="19"/>
        <v>2368978.8117858563</v>
      </c>
      <c r="M129" s="20">
        <f t="shared" si="20"/>
        <v>-1212645537.0650017</v>
      </c>
      <c r="N129" s="20">
        <f t="shared" si="21"/>
        <v>-1275646792.7300377</v>
      </c>
      <c r="O129" s="21">
        <f t="shared" si="22"/>
        <v>1</v>
      </c>
    </row>
    <row r="130" spans="10:15">
      <c r="J130" s="22">
        <f t="shared" si="24"/>
        <v>175</v>
      </c>
      <c r="K130" s="20">
        <f t="shared" si="25"/>
        <v>1570632.9522140229</v>
      </c>
      <c r="L130" s="20">
        <f t="shared" si="19"/>
        <v>2416358.3880215734</v>
      </c>
      <c r="M130" s="20">
        <f t="shared" si="20"/>
        <v>-1275646792.7300377</v>
      </c>
      <c r="N130" s="20">
        <f t="shared" si="21"/>
        <v>-1341845490.7545612</v>
      </c>
      <c r="O130" s="21">
        <f t="shared" si="22"/>
        <v>1</v>
      </c>
    </row>
    <row r="131" spans="10:15">
      <c r="J131" s="22">
        <f t="shared" si="24"/>
        <v>176</v>
      </c>
      <c r="K131" s="20">
        <f t="shared" si="25"/>
        <v>1602045.6112583033</v>
      </c>
      <c r="L131" s="20">
        <f t="shared" si="19"/>
        <v>2464685.5557820052</v>
      </c>
      <c r="M131" s="20">
        <f t="shared" si="20"/>
        <v>-1341845490.7545612</v>
      </c>
      <c r="N131" s="20">
        <f t="shared" si="21"/>
        <v>-1411402450.8480713</v>
      </c>
      <c r="O131" s="21">
        <f t="shared" si="22"/>
        <v>1</v>
      </c>
    </row>
    <row r="132" spans="10:15">
      <c r="J132" s="22">
        <f t="shared" si="24"/>
        <v>177</v>
      </c>
      <c r="K132" s="20">
        <f t="shared" si="25"/>
        <v>1634086.5234834694</v>
      </c>
      <c r="L132" s="20">
        <f t="shared" si="19"/>
        <v>2513979.2668976453</v>
      </c>
      <c r="M132" s="20">
        <f t="shared" si="20"/>
        <v>-1411402450.8480713</v>
      </c>
      <c r="N132" s="20">
        <f t="shared" si="21"/>
        <v>-1484486552.6573727</v>
      </c>
      <c r="O132" s="21">
        <f t="shared" si="22"/>
        <v>1</v>
      </c>
    </row>
    <row r="133" spans="10:15">
      <c r="J133" s="22">
        <f t="shared" si="24"/>
        <v>178</v>
      </c>
      <c r="K133" s="20">
        <f t="shared" si="25"/>
        <v>1666768.2539531388</v>
      </c>
      <c r="L133" s="20">
        <f t="shared" si="19"/>
        <v>2564258.852235598</v>
      </c>
      <c r="M133" s="20">
        <f t="shared" si="20"/>
        <v>-1484486552.6573727</v>
      </c>
      <c r="N133" s="20">
        <f t="shared" si="21"/>
        <v>-1561275139.142477</v>
      </c>
      <c r="O133" s="21">
        <f t="shared" si="22"/>
        <v>1</v>
      </c>
    </row>
    <row r="134" spans="10:15">
      <c r="J134" s="22">
        <f t="shared" si="24"/>
        <v>179</v>
      </c>
      <c r="K134" s="20">
        <f t="shared" si="25"/>
        <v>1700103.6190322016</v>
      </c>
      <c r="L134" s="20">
        <f t="shared" si="19"/>
        <v>2615544.02928031</v>
      </c>
      <c r="M134" s="20">
        <f t="shared" si="20"/>
        <v>-1561275139.142477</v>
      </c>
      <c r="N134" s="20">
        <f t="shared" si="21"/>
        <v>-1641954440.1288815</v>
      </c>
      <c r="O134" s="21">
        <f t="shared" si="22"/>
        <v>1</v>
      </c>
    </row>
    <row r="135" spans="10:15">
      <c r="J135" s="22">
        <f t="shared" si="24"/>
        <v>180</v>
      </c>
      <c r="K135" s="20">
        <f t="shared" si="25"/>
        <v>1734105.6914128456</v>
      </c>
      <c r="L135" s="20">
        <f t="shared" si="19"/>
        <v>2667854.9098659162</v>
      </c>
      <c r="M135" s="20">
        <f t="shared" si="20"/>
        <v>-1641954440.1288815</v>
      </c>
      <c r="N135" s="20">
        <f t="shared" si="21"/>
        <v>-1726720017.0451915</v>
      </c>
      <c r="O135" s="21">
        <f t="shared" si="22"/>
        <v>1</v>
      </c>
    </row>
    <row r="136" spans="10:15">
      <c r="J136" s="22">
        <f t="shared" si="24"/>
        <v>181</v>
      </c>
      <c r="K136" s="20">
        <f t="shared" si="25"/>
        <v>1768787.8052411026</v>
      </c>
      <c r="L136" s="20">
        <f t="shared" si="19"/>
        <v>2721212.0080632349</v>
      </c>
      <c r="M136" s="20">
        <f t="shared" si="20"/>
        <v>-1726720017.0451915</v>
      </c>
      <c r="N136" s="20">
        <f t="shared" si="21"/>
        <v>-1815777229.9055145</v>
      </c>
      <c r="O136" s="21">
        <f t="shared" si="22"/>
        <v>1</v>
      </c>
    </row>
    <row r="137" spans="10:15">
      <c r="J137" s="22">
        <f t="shared" si="24"/>
        <v>182</v>
      </c>
      <c r="K137" s="20">
        <f t="shared" si="25"/>
        <v>1804163.5613459246</v>
      </c>
      <c r="L137" s="20">
        <f t="shared" si="19"/>
        <v>2775636.2482244992</v>
      </c>
      <c r="M137" s="20">
        <f t="shared" si="20"/>
        <v>-1815777229.9055145</v>
      </c>
      <c r="N137" s="20">
        <f t="shared" si="21"/>
        <v>-1909341727.6490147</v>
      </c>
      <c r="O137" s="21">
        <f t="shared" si="22"/>
        <v>1</v>
      </c>
    </row>
    <row r="138" spans="10:15">
      <c r="J138" s="22">
        <f t="shared" si="24"/>
        <v>183</v>
      </c>
      <c r="K138" s="20">
        <f t="shared" si="25"/>
        <v>1840246.8325728432</v>
      </c>
      <c r="L138" s="20">
        <f t="shared" si="19"/>
        <v>2831148.9731889893</v>
      </c>
      <c r="M138" s="20">
        <f t="shared" si="20"/>
        <v>-1909341727.6490147</v>
      </c>
      <c r="N138" s="20">
        <f t="shared" si="21"/>
        <v>-2007639963.0046544</v>
      </c>
      <c r="O138" s="21">
        <f t="shared" si="22"/>
        <v>1</v>
      </c>
    </row>
    <row r="139" spans="10:15">
      <c r="J139" s="22">
        <f t="shared" si="24"/>
        <v>184</v>
      </c>
      <c r="K139" s="20">
        <f t="shared" si="25"/>
        <v>1877051.7692243</v>
      </c>
      <c r="L139" s="20">
        <f t="shared" si="19"/>
        <v>2887771.9526527692</v>
      </c>
      <c r="M139" s="20">
        <f t="shared" si="20"/>
        <v>-2007639963.0046544</v>
      </c>
      <c r="N139" s="20">
        <f t="shared" si="21"/>
        <v>-2110909733.1075399</v>
      </c>
      <c r="O139" s="21">
        <f t="shared" si="22"/>
        <v>1</v>
      </c>
    </row>
    <row r="140" spans="10:15">
      <c r="J140" s="22">
        <f t="shared" si="24"/>
        <v>185</v>
      </c>
      <c r="K140" s="20">
        <f t="shared" si="25"/>
        <v>1914592.804608786</v>
      </c>
      <c r="L140" s="20">
        <f t="shared" si="19"/>
        <v>2945527.3917058245</v>
      </c>
      <c r="M140" s="20">
        <f t="shared" si="20"/>
        <v>-2110909733.1075399</v>
      </c>
      <c r="N140" s="20">
        <f t="shared" si="21"/>
        <v>-2219400747.154623</v>
      </c>
      <c r="O140" s="21">
        <f t="shared" si="22"/>
        <v>1</v>
      </c>
    </row>
    <row r="141" spans="10:15">
      <c r="J141" s="22">
        <f t="shared" si="24"/>
        <v>186</v>
      </c>
      <c r="K141" s="20">
        <f t="shared" si="25"/>
        <v>1952884.6607009617</v>
      </c>
      <c r="L141" s="20">
        <f t="shared" si="19"/>
        <v>3004437.939539941</v>
      </c>
      <c r="M141" s="20">
        <f t="shared" si="20"/>
        <v>-2219400747.154623</v>
      </c>
      <c r="N141" s="20">
        <f t="shared" si="21"/>
        <v>-2333375222.4518943</v>
      </c>
      <c r="O141" s="21">
        <f t="shared" si="22"/>
        <v>1</v>
      </c>
    </row>
    <row r="142" spans="10:15">
      <c r="J142" s="22">
        <f t="shared" si="24"/>
        <v>187</v>
      </c>
      <c r="K142" s="20">
        <f t="shared" si="25"/>
        <v>1991942.353914981</v>
      </c>
      <c r="L142" s="20">
        <f t="shared" si="19"/>
        <v>3064526.69833074</v>
      </c>
      <c r="M142" s="20">
        <f t="shared" si="20"/>
        <v>-2333375222.4518943</v>
      </c>
      <c r="N142" s="20">
        <f t="shared" si="21"/>
        <v>-2453108510.27282</v>
      </c>
      <c r="O142" s="21">
        <f t="shared" si="22"/>
        <v>1</v>
      </c>
    </row>
    <row r="143" spans="10:15">
      <c r="J143" s="22">
        <f t="shared" si="24"/>
        <v>188</v>
      </c>
      <c r="K143" s="20">
        <f t="shared" si="25"/>
        <v>2031781.2009932806</v>
      </c>
      <c r="L143" s="20">
        <f t="shared" si="19"/>
        <v>3125817.2322973548</v>
      </c>
      <c r="M143" s="20">
        <f t="shared" si="20"/>
        <v>-2453108510.27282</v>
      </c>
      <c r="N143" s="20">
        <f t="shared" si="21"/>
        <v>-2578889753.0187583</v>
      </c>
      <c r="O143" s="21">
        <f t="shared" si="22"/>
        <v>1</v>
      </c>
    </row>
    <row r="144" spans="10:15">
      <c r="J144" s="22">
        <f t="shared" si="24"/>
        <v>189</v>
      </c>
      <c r="K144" s="20">
        <f t="shared" si="25"/>
        <v>2072416.8250131463</v>
      </c>
      <c r="L144" s="20">
        <f t="shared" si="19"/>
        <v>3188333.5769433021</v>
      </c>
      <c r="M144" s="20">
        <f t="shared" si="20"/>
        <v>-2578889753.0187583</v>
      </c>
      <c r="N144" s="20">
        <f t="shared" si="21"/>
        <v>-2711022574.2466397</v>
      </c>
      <c r="O144" s="21">
        <f t="shared" si="22"/>
        <v>1</v>
      </c>
    </row>
    <row r="145" spans="10:15">
      <c r="J145" s="22">
        <f t="shared" si="24"/>
        <v>190</v>
      </c>
      <c r="K145" s="20">
        <f t="shared" si="25"/>
        <v>2113865.1615134091</v>
      </c>
      <c r="L145" s="20">
        <f t="shared" ref="L145:L208" si="27">K145/(1-$D$13)</f>
        <v>3252100.2484821677</v>
      </c>
      <c r="M145" s="20">
        <f t="shared" ref="M145:M208" si="28">N144</f>
        <v>-2711022574.2466397</v>
      </c>
      <c r="N145" s="20">
        <f t="shared" ref="N145:N208" si="29">M145*(1+ROA_Post)-L145</f>
        <v>-2849825803.2074542</v>
      </c>
      <c r="O145" s="21">
        <f t="shared" ref="O145:O208" si="30">IF(N145&lt;0,1,0)</f>
        <v>1</v>
      </c>
    </row>
    <row r="146" spans="10:15">
      <c r="J146" s="22">
        <f t="shared" si="24"/>
        <v>191</v>
      </c>
      <c r="K146" s="20">
        <f t="shared" si="25"/>
        <v>2156142.4647436775</v>
      </c>
      <c r="L146" s="20">
        <f t="shared" si="27"/>
        <v>3317142.2534518116</v>
      </c>
      <c r="M146" s="20">
        <f t="shared" si="28"/>
        <v>-2849825803.2074542</v>
      </c>
      <c r="N146" s="20">
        <f t="shared" si="29"/>
        <v>-2995634235.6212788</v>
      </c>
      <c r="O146" s="21">
        <f t="shared" si="30"/>
        <v>1</v>
      </c>
    </row>
    <row r="147" spans="10:15">
      <c r="J147" s="22">
        <f t="shared" si="24"/>
        <v>192</v>
      </c>
      <c r="K147" s="20">
        <f t="shared" si="25"/>
        <v>2199265.3140385509</v>
      </c>
      <c r="L147" s="20">
        <f t="shared" si="27"/>
        <v>3383485.0985208475</v>
      </c>
      <c r="M147" s="20">
        <f t="shared" si="28"/>
        <v>-2995634235.6212788</v>
      </c>
      <c r="N147" s="20">
        <f t="shared" si="29"/>
        <v>-3148799432.5008636</v>
      </c>
      <c r="O147" s="21">
        <f t="shared" si="30"/>
        <v>1</v>
      </c>
    </row>
    <row r="148" spans="10:15">
      <c r="J148" s="22">
        <f t="shared" si="24"/>
        <v>193</v>
      </c>
      <c r="K148" s="20">
        <f t="shared" si="25"/>
        <v>2243250.6203193222</v>
      </c>
      <c r="L148" s="20">
        <f t="shared" si="27"/>
        <v>3451154.800491265</v>
      </c>
      <c r="M148" s="20">
        <f t="shared" si="28"/>
        <v>-3148799432.5008636</v>
      </c>
      <c r="N148" s="20">
        <f t="shared" si="29"/>
        <v>-3309690558.9263983</v>
      </c>
      <c r="O148" s="21">
        <f t="shared" si="30"/>
        <v>1</v>
      </c>
    </row>
    <row r="149" spans="10:15">
      <c r="J149" s="22">
        <f t="shared" si="24"/>
        <v>194</v>
      </c>
      <c r="K149" s="20">
        <f t="shared" si="25"/>
        <v>2288115.6327257087</v>
      </c>
      <c r="L149" s="20">
        <f t="shared" si="27"/>
        <v>3520177.8965010899</v>
      </c>
      <c r="M149" s="20">
        <f t="shared" si="28"/>
        <v>-3309690558.9263983</v>
      </c>
      <c r="N149" s="20">
        <f t="shared" si="29"/>
        <v>-3478695264.7692194</v>
      </c>
      <c r="O149" s="21">
        <f t="shared" si="30"/>
        <v>1</v>
      </c>
    </row>
    <row r="150" spans="10:15">
      <c r="J150" s="22">
        <f t="shared" si="24"/>
        <v>195</v>
      </c>
      <c r="K150" s="20">
        <f t="shared" si="25"/>
        <v>2333877.945380223</v>
      </c>
      <c r="L150" s="20">
        <f t="shared" si="27"/>
        <v>3590581.4544311124</v>
      </c>
      <c r="M150" s="20">
        <f t="shared" si="28"/>
        <v>-3478695264.7692194</v>
      </c>
      <c r="N150" s="20">
        <f t="shared" si="29"/>
        <v>-3656220609.4621115</v>
      </c>
      <c r="O150" s="21">
        <f t="shared" si="30"/>
        <v>1</v>
      </c>
    </row>
    <row r="151" spans="10:15">
      <c r="J151" s="22">
        <f t="shared" si="24"/>
        <v>196</v>
      </c>
      <c r="K151" s="20">
        <f t="shared" si="25"/>
        <v>2380555.5042878273</v>
      </c>
      <c r="L151" s="20">
        <f t="shared" si="27"/>
        <v>3662393.083519734</v>
      </c>
      <c r="M151" s="20">
        <f t="shared" si="28"/>
        <v>-3656220609.4621115</v>
      </c>
      <c r="N151" s="20">
        <f t="shared" si="29"/>
        <v>-3842694033.0187373</v>
      </c>
      <c r="O151" s="21">
        <f t="shared" si="30"/>
        <v>1</v>
      </c>
    </row>
    <row r="152" spans="10:15">
      <c r="J152" s="22">
        <f t="shared" ref="J152:J212" si="31">J151+1</f>
        <v>197</v>
      </c>
      <c r="K152" s="20">
        <f t="shared" ref="K152:K212" si="32">K151*(1+$D$12)</f>
        <v>2428166.6143735838</v>
      </c>
      <c r="L152" s="20">
        <f t="shared" si="27"/>
        <v>3735640.9451901289</v>
      </c>
      <c r="M152" s="20">
        <f t="shared" si="28"/>
        <v>-3842694033.0187373</v>
      </c>
      <c r="N152" s="20">
        <f t="shared" si="29"/>
        <v>-4038564375.6148643</v>
      </c>
      <c r="O152" s="21">
        <f t="shared" si="30"/>
        <v>1</v>
      </c>
    </row>
    <row r="153" spans="10:15">
      <c r="J153" s="22">
        <f t="shared" si="31"/>
        <v>198</v>
      </c>
      <c r="K153" s="20">
        <f t="shared" si="32"/>
        <v>2476729.9466610556</v>
      </c>
      <c r="L153" s="20">
        <f t="shared" si="27"/>
        <v>3810353.7640939313</v>
      </c>
      <c r="M153" s="20">
        <f t="shared" si="28"/>
        <v>-4038564375.6148643</v>
      </c>
      <c r="N153" s="20">
        <f t="shared" si="29"/>
        <v>-4244302948.1597018</v>
      </c>
      <c r="O153" s="21">
        <f t="shared" si="30"/>
        <v>1</v>
      </c>
    </row>
    <row r="154" spans="10:15">
      <c r="J154" s="22">
        <f t="shared" si="31"/>
        <v>199</v>
      </c>
      <c r="K154" s="20">
        <f t="shared" si="32"/>
        <v>2526264.5455942769</v>
      </c>
      <c r="L154" s="20">
        <f t="shared" si="27"/>
        <v>3886560.8393758102</v>
      </c>
      <c r="M154" s="20">
        <f t="shared" si="28"/>
        <v>-4244302948.1597018</v>
      </c>
      <c r="N154" s="20">
        <f t="shared" si="29"/>
        <v>-4460404656.4070625</v>
      </c>
      <c r="O154" s="21">
        <f t="shared" si="30"/>
        <v>1</v>
      </c>
    </row>
    <row r="155" spans="10:15">
      <c r="J155" s="22">
        <f t="shared" si="31"/>
        <v>200</v>
      </c>
      <c r="K155" s="20">
        <f t="shared" si="32"/>
        <v>2576789.8365061623</v>
      </c>
      <c r="L155" s="20">
        <f t="shared" si="27"/>
        <v>3964292.0561633264</v>
      </c>
      <c r="M155" s="20">
        <f t="shared" si="28"/>
        <v>-4460404656.4070625</v>
      </c>
      <c r="N155" s="20">
        <f t="shared" si="29"/>
        <v>-4687389181.2835798</v>
      </c>
      <c r="O155" s="21">
        <f t="shared" si="30"/>
        <v>1</v>
      </c>
    </row>
    <row r="156" spans="10:15">
      <c r="J156" s="22">
        <f t="shared" si="31"/>
        <v>201</v>
      </c>
      <c r="K156" s="20">
        <f t="shared" si="32"/>
        <v>2628325.6332362858</v>
      </c>
      <c r="L156" s="20">
        <f t="shared" si="27"/>
        <v>4043577.8972865934</v>
      </c>
      <c r="M156" s="20">
        <f t="shared" si="28"/>
        <v>-4687389181.2835798</v>
      </c>
      <c r="N156" s="20">
        <f t="shared" si="29"/>
        <v>-4925802218.2450457</v>
      </c>
      <c r="O156" s="21">
        <f t="shared" si="30"/>
        <v>1</v>
      </c>
    </row>
    <row r="157" spans="10:15">
      <c r="J157" s="22">
        <f t="shared" si="31"/>
        <v>202</v>
      </c>
      <c r="K157" s="20">
        <f t="shared" si="32"/>
        <v>2680892.1459010113</v>
      </c>
      <c r="L157" s="20">
        <f t="shared" si="27"/>
        <v>4124449.455232325</v>
      </c>
      <c r="M157" s="20">
        <f t="shared" si="28"/>
        <v>-4925802218.2450457</v>
      </c>
      <c r="N157" s="20">
        <f t="shared" si="29"/>
        <v>-5176216778.6125307</v>
      </c>
      <c r="O157" s="21">
        <f t="shared" si="30"/>
        <v>1</v>
      </c>
    </row>
    <row r="158" spans="10:15">
      <c r="J158" s="22">
        <f t="shared" si="31"/>
        <v>203</v>
      </c>
      <c r="K158" s="20">
        <f t="shared" si="32"/>
        <v>2734509.9888190315</v>
      </c>
      <c r="L158" s="20">
        <f t="shared" si="27"/>
        <v>4206938.4443369713</v>
      </c>
      <c r="M158" s="20">
        <f t="shared" si="28"/>
        <v>-5176216778.6125307</v>
      </c>
      <c r="N158" s="20">
        <f t="shared" si="29"/>
        <v>-5439234555.9874945</v>
      </c>
      <c r="O158" s="21">
        <f t="shared" si="30"/>
        <v>1</v>
      </c>
    </row>
    <row r="159" spans="10:15">
      <c r="J159" s="22">
        <f t="shared" si="31"/>
        <v>204</v>
      </c>
      <c r="K159" s="20">
        <f t="shared" si="32"/>
        <v>2789200.1885954123</v>
      </c>
      <c r="L159" s="20">
        <f t="shared" si="27"/>
        <v>4291077.2132237107</v>
      </c>
      <c r="M159" s="20">
        <f t="shared" si="28"/>
        <v>-5439234555.9874945</v>
      </c>
      <c r="N159" s="20">
        <f t="shared" si="29"/>
        <v>-5715487361.0000925</v>
      </c>
      <c r="O159" s="21">
        <f t="shared" si="30"/>
        <v>1</v>
      </c>
    </row>
    <row r="160" spans="10:15">
      <c r="J160" s="22">
        <f t="shared" si="31"/>
        <v>205</v>
      </c>
      <c r="K160" s="20">
        <f t="shared" si="32"/>
        <v>2844984.1923673204</v>
      </c>
      <c r="L160" s="20">
        <f t="shared" si="27"/>
        <v>4376898.7574881855</v>
      </c>
      <c r="M160" s="20">
        <f t="shared" si="28"/>
        <v>-5715487361.0000925</v>
      </c>
      <c r="N160" s="20">
        <f t="shared" si="29"/>
        <v>-6005638627.8075857</v>
      </c>
      <c r="O160" s="21">
        <f t="shared" si="30"/>
        <v>1</v>
      </c>
    </row>
    <row r="161" spans="10:15">
      <c r="J161" s="22">
        <f t="shared" si="31"/>
        <v>206</v>
      </c>
      <c r="K161" s="20">
        <f t="shared" si="32"/>
        <v>2901883.8762146668</v>
      </c>
      <c r="L161" s="20">
        <f t="shared" si="27"/>
        <v>4464436.7326379484</v>
      </c>
      <c r="M161" s="20">
        <f t="shared" si="28"/>
        <v>-6005638627.8075857</v>
      </c>
      <c r="N161" s="20">
        <f t="shared" si="29"/>
        <v>-6310384995.930604</v>
      </c>
      <c r="O161" s="21">
        <f t="shared" si="30"/>
        <v>1</v>
      </c>
    </row>
    <row r="162" spans="10:15">
      <c r="J162" s="22">
        <f t="shared" si="31"/>
        <v>207</v>
      </c>
      <c r="K162" s="20">
        <f t="shared" si="32"/>
        <v>2959921.5537389601</v>
      </c>
      <c r="L162" s="20">
        <f t="shared" si="27"/>
        <v>4553725.4672907079</v>
      </c>
      <c r="M162" s="20">
        <f t="shared" si="28"/>
        <v>-6310384995.930604</v>
      </c>
      <c r="N162" s="20">
        <f t="shared" si="29"/>
        <v>-6630457971.1944256</v>
      </c>
      <c r="O162" s="21">
        <f t="shared" si="30"/>
        <v>1</v>
      </c>
    </row>
    <row r="163" spans="10:15">
      <c r="J163" s="22">
        <f t="shared" si="31"/>
        <v>208</v>
      </c>
      <c r="K163" s="20">
        <f t="shared" si="32"/>
        <v>3019119.9848137395</v>
      </c>
      <c r="L163" s="20">
        <f t="shared" si="27"/>
        <v>4644799.9766365224</v>
      </c>
      <c r="M163" s="20">
        <f t="shared" si="28"/>
        <v>-6630457971.1944256</v>
      </c>
      <c r="N163" s="20">
        <f t="shared" si="29"/>
        <v>-6966625669.7307844</v>
      </c>
      <c r="O163" s="21">
        <f t="shared" si="30"/>
        <v>1</v>
      </c>
    </row>
    <row r="164" spans="10:15">
      <c r="J164" s="22">
        <f t="shared" si="31"/>
        <v>209</v>
      </c>
      <c r="K164" s="20">
        <f t="shared" si="32"/>
        <v>3079502.3845100142</v>
      </c>
      <c r="L164" s="20">
        <f t="shared" si="27"/>
        <v>4737695.9761692528</v>
      </c>
      <c r="M164" s="20">
        <f t="shared" si="28"/>
        <v>-6966625669.7307844</v>
      </c>
      <c r="N164" s="20">
        <f t="shared" si="29"/>
        <v>-7319694649.1934938</v>
      </c>
      <c r="O164" s="21">
        <f t="shared" si="30"/>
        <v>1</v>
      </c>
    </row>
    <row r="165" spans="10:15">
      <c r="J165" s="22">
        <f t="shared" si="31"/>
        <v>210</v>
      </c>
      <c r="K165" s="20">
        <f t="shared" si="32"/>
        <v>3141092.4322002144</v>
      </c>
      <c r="L165" s="20">
        <f t="shared" si="27"/>
        <v>4832449.8956926372</v>
      </c>
      <c r="M165" s="20">
        <f t="shared" si="28"/>
        <v>-7319694649.1934938</v>
      </c>
      <c r="N165" s="20">
        <f t="shared" si="29"/>
        <v>-7690511831.5488615</v>
      </c>
      <c r="O165" s="21">
        <f t="shared" si="30"/>
        <v>1</v>
      </c>
    </row>
    <row r="166" spans="10:15">
      <c r="J166" s="22">
        <f t="shared" si="31"/>
        <v>211</v>
      </c>
      <c r="K166" s="20">
        <f t="shared" si="32"/>
        <v>3203914.2808442186</v>
      </c>
      <c r="L166" s="20">
        <f t="shared" si="27"/>
        <v>4929098.8936064895</v>
      </c>
      <c r="M166" s="20">
        <f t="shared" si="28"/>
        <v>-7690511831.5488615</v>
      </c>
      <c r="N166" s="20">
        <f t="shared" si="29"/>
        <v>-8079966522.0199108</v>
      </c>
      <c r="O166" s="21">
        <f t="shared" si="30"/>
        <v>1</v>
      </c>
    </row>
    <row r="167" spans="10:15">
      <c r="J167" s="22">
        <f t="shared" si="31"/>
        <v>212</v>
      </c>
      <c r="K167" s="20">
        <f t="shared" si="32"/>
        <v>3267992.566461103</v>
      </c>
      <c r="L167" s="20">
        <f t="shared" si="27"/>
        <v>5027680.87147862</v>
      </c>
      <c r="M167" s="20">
        <f t="shared" si="28"/>
        <v>-8079966522.0199108</v>
      </c>
      <c r="N167" s="20">
        <f t="shared" si="29"/>
        <v>-8488992528.9923859</v>
      </c>
      <c r="O167" s="21">
        <f t="shared" si="30"/>
        <v>1</v>
      </c>
    </row>
    <row r="168" spans="10:15">
      <c r="J168" s="22">
        <f t="shared" si="31"/>
        <v>213</v>
      </c>
      <c r="K168" s="20">
        <f t="shared" si="32"/>
        <v>3333352.4177903254</v>
      </c>
      <c r="L168" s="20">
        <f t="shared" si="27"/>
        <v>5128234.4889081931</v>
      </c>
      <c r="M168" s="20">
        <f t="shared" si="28"/>
        <v>-8488992528.9923859</v>
      </c>
      <c r="N168" s="20">
        <f t="shared" si="29"/>
        <v>-8918570389.9309139</v>
      </c>
      <c r="O168" s="21">
        <f t="shared" si="30"/>
        <v>1</v>
      </c>
    </row>
    <row r="169" spans="10:15">
      <c r="J169" s="22">
        <f t="shared" si="31"/>
        <v>214</v>
      </c>
      <c r="K169" s="20">
        <f t="shared" si="32"/>
        <v>3400019.466146132</v>
      </c>
      <c r="L169" s="20">
        <f t="shared" si="27"/>
        <v>5230799.1786863571</v>
      </c>
      <c r="M169" s="20">
        <f t="shared" si="28"/>
        <v>-8918570389.9309139</v>
      </c>
      <c r="N169" s="20">
        <f t="shared" si="29"/>
        <v>-9369729708.6061459</v>
      </c>
      <c r="O169" s="21">
        <f t="shared" si="30"/>
        <v>1</v>
      </c>
    </row>
    <row r="170" spans="10:15">
      <c r="J170" s="22">
        <f t="shared" si="31"/>
        <v>215</v>
      </c>
      <c r="K170" s="20">
        <f t="shared" si="32"/>
        <v>3468019.8554690545</v>
      </c>
      <c r="L170" s="20">
        <f t="shared" si="27"/>
        <v>5335415.1622600835</v>
      </c>
      <c r="M170" s="20">
        <f t="shared" si="28"/>
        <v>-9369729708.6061459</v>
      </c>
      <c r="N170" s="20">
        <f t="shared" si="29"/>
        <v>-9843551609.1987133</v>
      </c>
      <c r="O170" s="21">
        <f t="shared" si="30"/>
        <v>1</v>
      </c>
    </row>
    <row r="171" spans="10:15">
      <c r="J171" s="22">
        <f t="shared" si="31"/>
        <v>216</v>
      </c>
      <c r="K171" s="20">
        <f t="shared" si="32"/>
        <v>3537380.2525784355</v>
      </c>
      <c r="L171" s="20">
        <f t="shared" si="27"/>
        <v>5442123.4655052852</v>
      </c>
      <c r="M171" s="20">
        <f t="shared" si="28"/>
        <v>-9843551609.1987133</v>
      </c>
      <c r="N171" s="20">
        <f t="shared" si="29"/>
        <v>-10341171313.124155</v>
      </c>
      <c r="O171" s="21">
        <f t="shared" si="30"/>
        <v>1</v>
      </c>
    </row>
    <row r="172" spans="10:15">
      <c r="J172" s="22">
        <f t="shared" si="31"/>
        <v>217</v>
      </c>
      <c r="K172" s="20">
        <f t="shared" si="32"/>
        <v>3608127.8576300042</v>
      </c>
      <c r="L172" s="20">
        <f t="shared" si="27"/>
        <v>5550965.934815391</v>
      </c>
      <c r="M172" s="20">
        <f t="shared" si="28"/>
        <v>-10341171313.124155</v>
      </c>
      <c r="N172" s="20">
        <f t="shared" si="29"/>
        <v>-10863780844.715178</v>
      </c>
      <c r="O172" s="21">
        <f t="shared" si="30"/>
        <v>1</v>
      </c>
    </row>
    <row r="173" spans="10:15">
      <c r="J173" s="22">
        <f t="shared" si="31"/>
        <v>218</v>
      </c>
      <c r="K173" s="20">
        <f t="shared" si="32"/>
        <v>3680290.4147826042</v>
      </c>
      <c r="L173" s="20">
        <f t="shared" si="27"/>
        <v>5661985.2535116989</v>
      </c>
      <c r="M173" s="20">
        <f t="shared" si="28"/>
        <v>-10863780844.715178</v>
      </c>
      <c r="N173" s="20">
        <f t="shared" si="29"/>
        <v>-11412631872.204449</v>
      </c>
      <c r="O173" s="21">
        <f t="shared" si="30"/>
        <v>1</v>
      </c>
    </row>
    <row r="174" spans="10:15">
      <c r="J174" s="22">
        <f t="shared" si="31"/>
        <v>219</v>
      </c>
      <c r="K174" s="20">
        <f t="shared" si="32"/>
        <v>3753896.2230782565</v>
      </c>
      <c r="L174" s="20">
        <f t="shared" si="27"/>
        <v>5775224.9585819328</v>
      </c>
      <c r="M174" s="20">
        <f t="shared" si="28"/>
        <v>-11412631872.204449</v>
      </c>
      <c r="N174" s="20">
        <f t="shared" si="29"/>
        <v>-11989038690.773254</v>
      </c>
      <c r="O174" s="21">
        <f t="shared" si="30"/>
        <v>1</v>
      </c>
    </row>
    <row r="175" spans="10:15">
      <c r="J175" s="22">
        <f t="shared" si="31"/>
        <v>220</v>
      </c>
      <c r="K175" s="20">
        <f t="shared" si="32"/>
        <v>3828974.1475398215</v>
      </c>
      <c r="L175" s="20">
        <f t="shared" si="27"/>
        <v>5890729.4577535717</v>
      </c>
      <c r="M175" s="20">
        <f t="shared" si="28"/>
        <v>-11989038690.773254</v>
      </c>
      <c r="N175" s="20">
        <f t="shared" si="29"/>
        <v>-12594381354.769672</v>
      </c>
      <c r="O175" s="21">
        <f t="shared" si="30"/>
        <v>1</v>
      </c>
    </row>
    <row r="176" spans="10:15">
      <c r="J176" s="22">
        <f t="shared" si="31"/>
        <v>221</v>
      </c>
      <c r="K176" s="20">
        <f t="shared" si="32"/>
        <v>3905553.6304906178</v>
      </c>
      <c r="L176" s="20">
        <f t="shared" si="27"/>
        <v>6008544.0469086422</v>
      </c>
      <c r="M176" s="20">
        <f t="shared" si="28"/>
        <v>-12594381354.769672</v>
      </c>
      <c r="N176" s="20">
        <f t="shared" si="29"/>
        <v>-13230108966.555065</v>
      </c>
      <c r="O176" s="21">
        <f t="shared" si="30"/>
        <v>1</v>
      </c>
    </row>
    <row r="177" spans="10:15">
      <c r="J177" s="22">
        <f t="shared" si="31"/>
        <v>222</v>
      </c>
      <c r="K177" s="20">
        <f t="shared" si="32"/>
        <v>3983664.7031004303</v>
      </c>
      <c r="L177" s="20">
        <f t="shared" si="27"/>
        <v>6128714.9278468154</v>
      </c>
      <c r="M177" s="20">
        <f t="shared" si="28"/>
        <v>-13230108966.555065</v>
      </c>
      <c r="N177" s="20">
        <f t="shared" si="29"/>
        <v>-13897743129.810665</v>
      </c>
      <c r="O177" s="21">
        <f t="shared" si="30"/>
        <v>1</v>
      </c>
    </row>
    <row r="178" spans="10:15">
      <c r="J178" s="22">
        <f t="shared" si="31"/>
        <v>223</v>
      </c>
      <c r="K178" s="20">
        <f t="shared" si="32"/>
        <v>4063337.9971624389</v>
      </c>
      <c r="L178" s="20">
        <f t="shared" si="27"/>
        <v>6251289.2264037523</v>
      </c>
      <c r="M178" s="20">
        <f t="shared" si="28"/>
        <v>-13897743129.810665</v>
      </c>
      <c r="N178" s="20">
        <f t="shared" si="29"/>
        <v>-14598881575.527603</v>
      </c>
      <c r="O178" s="21">
        <f t="shared" si="30"/>
        <v>1</v>
      </c>
    </row>
    <row r="179" spans="10:15">
      <c r="J179" s="22">
        <f t="shared" si="31"/>
        <v>224</v>
      </c>
      <c r="K179" s="20">
        <f t="shared" si="32"/>
        <v>4144604.7571056876</v>
      </c>
      <c r="L179" s="20">
        <f t="shared" si="27"/>
        <v>6376315.0109318271</v>
      </c>
      <c r="M179" s="20">
        <f t="shared" si="28"/>
        <v>-14598881575.527603</v>
      </c>
      <c r="N179" s="20">
        <f t="shared" si="29"/>
        <v>-15335201969.314915</v>
      </c>
      <c r="O179" s="21">
        <f t="shared" si="30"/>
        <v>1</v>
      </c>
    </row>
    <row r="180" spans="10:15">
      <c r="J180" s="22">
        <f t="shared" si="31"/>
        <v>225</v>
      </c>
      <c r="K180" s="20">
        <f t="shared" si="32"/>
        <v>4227496.8522478016</v>
      </c>
      <c r="L180" s="20">
        <f t="shared" si="27"/>
        <v>6503841.3111504642</v>
      </c>
      <c r="M180" s="20">
        <f t="shared" si="28"/>
        <v>-15335201969.314915</v>
      </c>
      <c r="N180" s="20">
        <f t="shared" si="29"/>
        <v>-16108465909.09181</v>
      </c>
      <c r="O180" s="21">
        <f t="shared" si="30"/>
        <v>1</v>
      </c>
    </row>
    <row r="181" spans="10:15">
      <c r="J181" s="22">
        <f t="shared" si="31"/>
        <v>226</v>
      </c>
      <c r="K181" s="20">
        <f t="shared" si="32"/>
        <v>4312046.7892927574</v>
      </c>
      <c r="L181" s="20">
        <f t="shared" si="27"/>
        <v>6633918.1373734726</v>
      </c>
      <c r="M181" s="20">
        <f t="shared" si="28"/>
        <v>-16108465909.09181</v>
      </c>
      <c r="N181" s="20">
        <f t="shared" si="29"/>
        <v>-16920523122.683775</v>
      </c>
      <c r="O181" s="21">
        <f t="shared" si="30"/>
        <v>1</v>
      </c>
    </row>
    <row r="182" spans="10:15">
      <c r="J182" s="22">
        <f t="shared" si="31"/>
        <v>227</v>
      </c>
      <c r="K182" s="20">
        <f t="shared" si="32"/>
        <v>4398287.7250786126</v>
      </c>
      <c r="L182" s="20">
        <f t="shared" si="27"/>
        <v>6766596.5001209425</v>
      </c>
      <c r="M182" s="20">
        <f t="shared" si="28"/>
        <v>-16920523122.683775</v>
      </c>
      <c r="N182" s="20">
        <f t="shared" si="29"/>
        <v>-17773315875.318085</v>
      </c>
      <c r="O182" s="21">
        <f t="shared" si="30"/>
        <v>1</v>
      </c>
    </row>
    <row r="183" spans="10:15">
      <c r="J183" s="22">
        <f t="shared" si="31"/>
        <v>228</v>
      </c>
      <c r="K183" s="20">
        <f t="shared" si="32"/>
        <v>4486253.4795801844</v>
      </c>
      <c r="L183" s="20">
        <f t="shared" si="27"/>
        <v>6901928.4301233608</v>
      </c>
      <c r="M183" s="20">
        <f t="shared" si="28"/>
        <v>-17773315875.318085</v>
      </c>
      <c r="N183" s="20">
        <f t="shared" si="29"/>
        <v>-18668883597.514111</v>
      </c>
      <c r="O183" s="21">
        <f t="shared" si="30"/>
        <v>1</v>
      </c>
    </row>
    <row r="184" spans="10:15">
      <c r="J184" s="22">
        <f t="shared" si="31"/>
        <v>229</v>
      </c>
      <c r="K184" s="20">
        <f t="shared" si="32"/>
        <v>4575978.5491717886</v>
      </c>
      <c r="L184" s="20">
        <f t="shared" si="27"/>
        <v>7039966.9987258287</v>
      </c>
      <c r="M184" s="20">
        <f t="shared" si="28"/>
        <v>-18668883597.514111</v>
      </c>
      <c r="N184" s="20">
        <f t="shared" si="29"/>
        <v>-19609367744.388542</v>
      </c>
      <c r="O184" s="21">
        <f t="shared" si="30"/>
        <v>1</v>
      </c>
    </row>
    <row r="185" spans="10:15">
      <c r="J185" s="22">
        <f t="shared" si="31"/>
        <v>230</v>
      </c>
      <c r="K185" s="20">
        <f t="shared" si="32"/>
        <v>4667498.1201552246</v>
      </c>
      <c r="L185" s="20">
        <f t="shared" si="27"/>
        <v>7180766.3387003457</v>
      </c>
      <c r="M185" s="20">
        <f t="shared" si="28"/>
        <v>-19609367744.388542</v>
      </c>
      <c r="N185" s="20">
        <f t="shared" si="29"/>
        <v>-20597016897.946671</v>
      </c>
      <c r="O185" s="21">
        <f t="shared" si="30"/>
        <v>1</v>
      </c>
    </row>
    <row r="186" spans="10:15">
      <c r="J186" s="22">
        <f t="shared" si="31"/>
        <v>231</v>
      </c>
      <c r="K186" s="20">
        <f t="shared" si="32"/>
        <v>4760848.0825583292</v>
      </c>
      <c r="L186" s="20">
        <f t="shared" si="27"/>
        <v>7324381.6654743524</v>
      </c>
      <c r="M186" s="20">
        <f t="shared" si="28"/>
        <v>-20597016897.946671</v>
      </c>
      <c r="N186" s="20">
        <f t="shared" si="29"/>
        <v>-21634192124.50948</v>
      </c>
      <c r="O186" s="21">
        <f t="shared" si="30"/>
        <v>1</v>
      </c>
    </row>
    <row r="187" spans="10:15">
      <c r="J187" s="22">
        <f t="shared" si="31"/>
        <v>232</v>
      </c>
      <c r="K187" s="20">
        <f t="shared" si="32"/>
        <v>4856065.0442094961</v>
      </c>
      <c r="L187" s="20">
        <f t="shared" si="27"/>
        <v>7470869.2987838397</v>
      </c>
      <c r="M187" s="20">
        <f t="shared" si="28"/>
        <v>-21634192124.50948</v>
      </c>
      <c r="N187" s="20">
        <f t="shared" si="29"/>
        <v>-22723372600.033737</v>
      </c>
      <c r="O187" s="21">
        <f t="shared" si="30"/>
        <v>1</v>
      </c>
    </row>
    <row r="188" spans="10:15">
      <c r="J188" s="22">
        <f t="shared" si="31"/>
        <v>233</v>
      </c>
      <c r="K188" s="20">
        <f t="shared" si="32"/>
        <v>4953186.3450936861</v>
      </c>
      <c r="L188" s="20">
        <f t="shared" si="27"/>
        <v>7620286.6847595172</v>
      </c>
      <c r="M188" s="20">
        <f t="shared" si="28"/>
        <v>-22723372600.033737</v>
      </c>
      <c r="N188" s="20">
        <f t="shared" si="29"/>
        <v>-23867161516.720184</v>
      </c>
      <c r="O188" s="21">
        <f t="shared" si="30"/>
        <v>1</v>
      </c>
    </row>
    <row r="189" spans="10:15">
      <c r="J189" s="22">
        <f t="shared" si="31"/>
        <v>234</v>
      </c>
      <c r="K189" s="20">
        <f t="shared" si="32"/>
        <v>5052250.0719955601</v>
      </c>
      <c r="L189" s="20">
        <f t="shared" si="27"/>
        <v>7772692.4184547076</v>
      </c>
      <c r="M189" s="20">
        <f t="shared" si="28"/>
        <v>-23867161516.720184</v>
      </c>
      <c r="N189" s="20">
        <f t="shared" si="29"/>
        <v>-25068292284.974648</v>
      </c>
      <c r="O189" s="21">
        <f t="shared" si="30"/>
        <v>1</v>
      </c>
    </row>
    <row r="190" spans="10:15">
      <c r="J190" s="22">
        <f t="shared" si="31"/>
        <v>235</v>
      </c>
      <c r="K190" s="20">
        <f t="shared" si="32"/>
        <v>5153295.0734354714</v>
      </c>
      <c r="L190" s="20">
        <f t="shared" si="27"/>
        <v>7928146.2668238021</v>
      </c>
      <c r="M190" s="20">
        <f t="shared" si="28"/>
        <v>-25068292284.974648</v>
      </c>
      <c r="N190" s="20">
        <f t="shared" si="29"/>
        <v>-26329635045.490204</v>
      </c>
      <c r="O190" s="21">
        <f t="shared" si="30"/>
        <v>1</v>
      </c>
    </row>
    <row r="191" spans="10:15">
      <c r="J191" s="22">
        <f t="shared" si="31"/>
        <v>236</v>
      </c>
      <c r="K191" s="20">
        <f t="shared" si="32"/>
        <v>5256360.9749041805</v>
      </c>
      <c r="L191" s="20">
        <f t="shared" si="27"/>
        <v>8086709.1921602776</v>
      </c>
      <c r="M191" s="20">
        <f t="shared" si="28"/>
        <v>-26329635045.490204</v>
      </c>
      <c r="N191" s="20">
        <f t="shared" si="29"/>
        <v>-27654203506.956879</v>
      </c>
      <c r="O191" s="21">
        <f t="shared" si="30"/>
        <v>1</v>
      </c>
    </row>
    <row r="192" spans="10:15">
      <c r="J192" s="22">
        <f t="shared" si="31"/>
        <v>237</v>
      </c>
      <c r="K192" s="20">
        <f t="shared" si="32"/>
        <v>5361488.1944022644</v>
      </c>
      <c r="L192" s="20">
        <f t="shared" si="27"/>
        <v>8248443.3760034833</v>
      </c>
      <c r="M192" s="20">
        <f t="shared" si="28"/>
        <v>-27654203506.956879</v>
      </c>
      <c r="N192" s="20">
        <f t="shared" si="29"/>
        <v>-29045162125.680729</v>
      </c>
      <c r="O192" s="21">
        <f t="shared" si="30"/>
        <v>1</v>
      </c>
    </row>
    <row r="193" spans="10:15">
      <c r="J193" s="22">
        <f t="shared" si="31"/>
        <v>238</v>
      </c>
      <c r="K193" s="20">
        <f t="shared" si="32"/>
        <v>5468717.9582903096</v>
      </c>
      <c r="L193" s="20">
        <f t="shared" si="27"/>
        <v>8413412.243523553</v>
      </c>
      <c r="M193" s="20">
        <f t="shared" si="28"/>
        <v>-29045162125.680729</v>
      </c>
      <c r="N193" s="20">
        <f t="shared" si="29"/>
        <v>-30505833644.20829</v>
      </c>
      <c r="O193" s="21">
        <f t="shared" si="30"/>
        <v>1</v>
      </c>
    </row>
    <row r="194" spans="10:15">
      <c r="J194" s="22">
        <f t="shared" si="31"/>
        <v>239</v>
      </c>
      <c r="K194" s="20">
        <f t="shared" si="32"/>
        <v>5578092.317456116</v>
      </c>
      <c r="L194" s="20">
        <f t="shared" si="27"/>
        <v>8581680.4883940239</v>
      </c>
      <c r="M194" s="20">
        <f t="shared" si="28"/>
        <v>-30505833644.20829</v>
      </c>
      <c r="N194" s="20">
        <f t="shared" si="29"/>
        <v>-32039707006.907101</v>
      </c>
      <c r="O194" s="21">
        <f t="shared" si="30"/>
        <v>1</v>
      </c>
    </row>
    <row r="195" spans="10:15">
      <c r="J195" s="22">
        <f t="shared" si="31"/>
        <v>240</v>
      </c>
      <c r="K195" s="20">
        <f t="shared" si="32"/>
        <v>5689654.163805238</v>
      </c>
      <c r="L195" s="20">
        <f t="shared" si="27"/>
        <v>8753314.0981619041</v>
      </c>
      <c r="M195" s="20">
        <f t="shared" si="28"/>
        <v>-32039707006.907101</v>
      </c>
      <c r="N195" s="20">
        <f t="shared" si="29"/>
        <v>-33650445671.35062</v>
      </c>
      <c r="O195" s="21">
        <f t="shared" si="30"/>
        <v>1</v>
      </c>
    </row>
    <row r="196" spans="10:15">
      <c r="J196" s="22">
        <f t="shared" si="31"/>
        <v>241</v>
      </c>
      <c r="K196" s="20">
        <f t="shared" si="32"/>
        <v>5803447.2470813431</v>
      </c>
      <c r="L196" s="20">
        <f t="shared" si="27"/>
        <v>8928380.3801251426</v>
      </c>
      <c r="M196" s="20">
        <f t="shared" si="28"/>
        <v>-33650445671.35062</v>
      </c>
      <c r="N196" s="20">
        <f t="shared" si="29"/>
        <v>-35341896335.298279</v>
      </c>
      <c r="O196" s="21">
        <f t="shared" si="30"/>
        <v>1</v>
      </c>
    </row>
    <row r="197" spans="10:15">
      <c r="J197" s="22">
        <f t="shared" si="31"/>
        <v>242</v>
      </c>
      <c r="K197" s="20">
        <f t="shared" si="32"/>
        <v>5919516.1920229699</v>
      </c>
      <c r="L197" s="20">
        <f t="shared" si="27"/>
        <v>9106947.9877276458</v>
      </c>
      <c r="M197" s="20">
        <f t="shared" si="28"/>
        <v>-35341896335.298279</v>
      </c>
      <c r="N197" s="20">
        <f t="shared" si="29"/>
        <v>-37118098100.050919</v>
      </c>
      <c r="O197" s="21">
        <f t="shared" si="30"/>
        <v>1</v>
      </c>
    </row>
    <row r="198" spans="10:15">
      <c r="J198" s="22">
        <f t="shared" si="31"/>
        <v>243</v>
      </c>
      <c r="K198" s="20">
        <f t="shared" si="32"/>
        <v>6037906.5158634298</v>
      </c>
      <c r="L198" s="20">
        <f t="shared" si="27"/>
        <v>9289086.9474821985</v>
      </c>
      <c r="M198" s="20">
        <f t="shared" si="28"/>
        <v>-37118098100.050919</v>
      </c>
      <c r="N198" s="20">
        <f t="shared" si="29"/>
        <v>-38983292092.000946</v>
      </c>
      <c r="O198" s="21">
        <f t="shared" si="30"/>
        <v>1</v>
      </c>
    </row>
    <row r="199" spans="10:15">
      <c r="J199" s="22">
        <f t="shared" si="31"/>
        <v>244</v>
      </c>
      <c r="K199" s="20">
        <f t="shared" si="32"/>
        <v>6158664.6461806986</v>
      </c>
      <c r="L199" s="20">
        <f t="shared" si="27"/>
        <v>9474868.6864318438</v>
      </c>
      <c r="M199" s="20">
        <f t="shared" si="28"/>
        <v>-38983292092.000946</v>
      </c>
      <c r="N199" s="20">
        <f t="shared" si="29"/>
        <v>-40941931565.28743</v>
      </c>
      <c r="O199" s="21">
        <f t="shared" si="30"/>
        <v>1</v>
      </c>
    </row>
    <row r="200" spans="10:15">
      <c r="J200" s="22">
        <f t="shared" si="31"/>
        <v>245</v>
      </c>
      <c r="K200" s="20">
        <f t="shared" si="32"/>
        <v>6281837.939104313</v>
      </c>
      <c r="L200" s="20">
        <f t="shared" si="27"/>
        <v>9664366.0601604804</v>
      </c>
      <c r="M200" s="20">
        <f t="shared" si="28"/>
        <v>-40941931565.28743</v>
      </c>
      <c r="N200" s="20">
        <f t="shared" si="29"/>
        <v>-42998692509.611961</v>
      </c>
      <c r="O200" s="21">
        <f t="shared" si="30"/>
        <v>1</v>
      </c>
    </row>
    <row r="201" spans="10:15">
      <c r="J201" s="22">
        <f t="shared" si="31"/>
        <v>246</v>
      </c>
      <c r="K201" s="20">
        <f t="shared" si="32"/>
        <v>6407474.697886399</v>
      </c>
      <c r="L201" s="20">
        <f t="shared" si="27"/>
        <v>9857653.3813636899</v>
      </c>
      <c r="M201" s="20">
        <f t="shared" si="28"/>
        <v>-42998692509.611961</v>
      </c>
      <c r="N201" s="20">
        <f t="shared" si="29"/>
        <v>-45158484788.473923</v>
      </c>
      <c r="O201" s="21">
        <f t="shared" si="30"/>
        <v>1</v>
      </c>
    </row>
    <row r="202" spans="10:15">
      <c r="J202" s="22">
        <f t="shared" si="31"/>
        <v>247</v>
      </c>
      <c r="K202" s="20">
        <f t="shared" si="32"/>
        <v>6535624.1918441271</v>
      </c>
      <c r="L202" s="20">
        <f t="shared" si="27"/>
        <v>10054806.448990965</v>
      </c>
      <c r="M202" s="20">
        <f t="shared" si="28"/>
        <v>-45158484788.473923</v>
      </c>
      <c r="N202" s="20">
        <f t="shared" si="29"/>
        <v>-47426463834.346611</v>
      </c>
      <c r="O202" s="21">
        <f t="shared" si="30"/>
        <v>1</v>
      </c>
    </row>
    <row r="203" spans="10:15">
      <c r="J203" s="22">
        <f t="shared" si="31"/>
        <v>248</v>
      </c>
      <c r="K203" s="20">
        <f t="shared" si="32"/>
        <v>6666336.6756810099</v>
      </c>
      <c r="L203" s="20">
        <f t="shared" si="27"/>
        <v>10255902.577970784</v>
      </c>
      <c r="M203" s="20">
        <f t="shared" si="28"/>
        <v>-47426463834.346611</v>
      </c>
      <c r="N203" s="20">
        <f t="shared" si="29"/>
        <v>-49808042928.641914</v>
      </c>
      <c r="O203" s="21">
        <f t="shared" si="30"/>
        <v>1</v>
      </c>
    </row>
    <row r="204" spans="10:15">
      <c r="J204" s="22">
        <f t="shared" si="31"/>
        <v>249</v>
      </c>
      <c r="K204" s="20">
        <f t="shared" si="32"/>
        <v>6799663.4091946306</v>
      </c>
      <c r="L204" s="20">
        <f t="shared" si="27"/>
        <v>10461020.629530201</v>
      </c>
      <c r="M204" s="20">
        <f t="shared" si="28"/>
        <v>-49808042928.641914</v>
      </c>
      <c r="N204" s="20">
        <f t="shared" si="29"/>
        <v>-52308906095.703545</v>
      </c>
      <c r="O204" s="21">
        <f t="shared" si="30"/>
        <v>1</v>
      </c>
    </row>
    <row r="205" spans="10:15">
      <c r="J205" s="22">
        <f t="shared" si="31"/>
        <v>250</v>
      </c>
      <c r="K205" s="20">
        <f t="shared" si="32"/>
        <v>6935656.6773785232</v>
      </c>
      <c r="L205" s="20">
        <f t="shared" si="27"/>
        <v>10670241.042120805</v>
      </c>
      <c r="M205" s="20">
        <f t="shared" si="28"/>
        <v>-52308906095.703545</v>
      </c>
      <c r="N205" s="20">
        <f t="shared" si="29"/>
        <v>-54935021641.530846</v>
      </c>
      <c r="O205" s="21">
        <f t="shared" si="30"/>
        <v>1</v>
      </c>
    </row>
    <row r="206" spans="10:15">
      <c r="J206" s="22">
        <f t="shared" si="31"/>
        <v>251</v>
      </c>
      <c r="K206" s="20">
        <f t="shared" si="32"/>
        <v>7074369.8109260937</v>
      </c>
      <c r="L206" s="20">
        <f t="shared" si="27"/>
        <v>10883645.86296322</v>
      </c>
      <c r="M206" s="20">
        <f t="shared" si="28"/>
        <v>-54935021641.530846</v>
      </c>
      <c r="N206" s="20">
        <f t="shared" si="29"/>
        <v>-57692656369.470352</v>
      </c>
      <c r="O206" s="21">
        <f t="shared" si="30"/>
        <v>1</v>
      </c>
    </row>
    <row r="207" spans="10:15">
      <c r="J207" s="22">
        <f t="shared" si="31"/>
        <v>252</v>
      </c>
      <c r="K207" s="20">
        <f t="shared" si="32"/>
        <v>7215857.2071446162</v>
      </c>
      <c r="L207" s="20">
        <f t="shared" si="27"/>
        <v>11101318.780222487</v>
      </c>
      <c r="M207" s="20">
        <f t="shared" si="28"/>
        <v>-57692656369.470352</v>
      </c>
      <c r="N207" s="20">
        <f t="shared" si="29"/>
        <v>-60588390506.724091</v>
      </c>
      <c r="O207" s="21">
        <f t="shared" si="30"/>
        <v>1</v>
      </c>
    </row>
    <row r="208" spans="10:15">
      <c r="J208" s="22">
        <f t="shared" si="31"/>
        <v>253</v>
      </c>
      <c r="K208" s="20">
        <f t="shared" si="32"/>
        <v>7360174.3512875084</v>
      </c>
      <c r="L208" s="20">
        <f t="shared" si="27"/>
        <v>11323345.155826936</v>
      </c>
      <c r="M208" s="20">
        <f t="shared" si="28"/>
        <v>-60588390506.724091</v>
      </c>
      <c r="N208" s="20">
        <f t="shared" si="29"/>
        <v>-63629133377.216125</v>
      </c>
      <c r="O208" s="21">
        <f t="shared" si="30"/>
        <v>1</v>
      </c>
    </row>
    <row r="209" spans="10:15">
      <c r="J209" s="22">
        <f t="shared" si="31"/>
        <v>254</v>
      </c>
      <c r="K209" s="20">
        <f t="shared" si="32"/>
        <v>7507377.8383132583</v>
      </c>
      <c r="L209" s="20">
        <f t="shared" ref="L209:L212" si="33">K209/(1-$D$13)</f>
        <v>11549812.058943475</v>
      </c>
      <c r="M209" s="20">
        <f t="shared" ref="M209:M212" si="34">N208</f>
        <v>-63629133377.216125</v>
      </c>
      <c r="N209" s="20">
        <f t="shared" ref="N209:N212" si="35">M209*(1+ROA_Post)-L209</f>
        <v>-66822139858.13588</v>
      </c>
      <c r="O209" s="21">
        <f t="shared" ref="O209:O212" si="36">IF(N209&lt;0,1,0)</f>
        <v>1</v>
      </c>
    </row>
    <row r="210" spans="10:15">
      <c r="J210" s="22">
        <f t="shared" si="31"/>
        <v>255</v>
      </c>
      <c r="K210" s="20">
        <f t="shared" si="32"/>
        <v>7657525.3950795233</v>
      </c>
      <c r="L210" s="20">
        <f t="shared" si="33"/>
        <v>11780808.300122343</v>
      </c>
      <c r="M210" s="20">
        <f t="shared" si="34"/>
        <v>-66822139858.13588</v>
      </c>
      <c r="N210" s="20">
        <f t="shared" si="35"/>
        <v>-70175027659.342804</v>
      </c>
      <c r="O210" s="21">
        <f t="shared" si="36"/>
        <v>1</v>
      </c>
    </row>
    <row r="211" spans="10:15">
      <c r="J211" s="22">
        <f t="shared" si="31"/>
        <v>256</v>
      </c>
      <c r="K211" s="20">
        <f t="shared" si="32"/>
        <v>7810675.9029811136</v>
      </c>
      <c r="L211" s="20">
        <f t="shared" si="33"/>
        <v>12016424.46612479</v>
      </c>
      <c r="M211" s="20">
        <f t="shared" si="34"/>
        <v>-70175027659.342804</v>
      </c>
      <c r="N211" s="20">
        <f t="shared" si="35"/>
        <v>-73695795466.776077</v>
      </c>
      <c r="O211" s="21">
        <f t="shared" si="36"/>
        <v>1</v>
      </c>
    </row>
    <row r="212" spans="10:15">
      <c r="J212" s="22">
        <f t="shared" si="31"/>
        <v>257</v>
      </c>
      <c r="K212" s="20">
        <f t="shared" si="32"/>
        <v>7966889.4210407361</v>
      </c>
      <c r="L212" s="20">
        <f t="shared" si="33"/>
        <v>12256752.955447286</v>
      </c>
      <c r="M212" s="20">
        <f t="shared" si="34"/>
        <v>-73695795466.776077</v>
      </c>
      <c r="N212" s="20">
        <f t="shared" si="35"/>
        <v>-77392841993.070328</v>
      </c>
      <c r="O212" s="21">
        <f t="shared" si="36"/>
        <v>1</v>
      </c>
    </row>
  </sheetData>
  <mergeCells count="2">
    <mergeCell ref="M12:V12"/>
    <mergeCell ref="Q20:R2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B7115-A4BB-104E-AF38-EB11FE6A519E}">
  <sheetPr codeName="Sheet2"/>
  <dimension ref="C3:R113"/>
  <sheetViews>
    <sheetView zoomScale="60" zoomScaleNormal="60" workbookViewId="0">
      <selection activeCell="N31" sqref="N31"/>
    </sheetView>
  </sheetViews>
  <sheetFormatPr defaultColWidth="11" defaultRowHeight="15.75"/>
  <cols>
    <col min="3" max="3" width="14.25" bestFit="1" customWidth="1"/>
    <col min="16" max="16" width="16.1875" bestFit="1" customWidth="1"/>
  </cols>
  <sheetData>
    <row r="3" spans="3:18" ht="16.149999999999999" thickBot="1"/>
    <row r="4" spans="3:18">
      <c r="C4" s="80" t="s">
        <v>20</v>
      </c>
      <c r="D4" s="3">
        <f>Calculations_MonitorArea!D18</f>
        <v>67</v>
      </c>
    </row>
    <row r="5" spans="3:18" ht="16.149999999999999" thickBot="1">
      <c r="C5" s="4" t="s">
        <v>47</v>
      </c>
      <c r="D5" s="5">
        <f>VLOOKUP(D4,D15:E58,2)</f>
        <v>85.000000000000028</v>
      </c>
    </row>
    <row r="6" spans="3:18">
      <c r="C6" s="4" t="s">
        <v>48</v>
      </c>
      <c r="D6" s="5">
        <v>3</v>
      </c>
      <c r="M6" s="80" t="s">
        <v>17</v>
      </c>
      <c r="N6" s="85">
        <f>Calculations_MonitorArea!Bob_Savings_Rate</f>
        <v>0.08</v>
      </c>
      <c r="O6" s="94">
        <f>N6*100</f>
        <v>8</v>
      </c>
      <c r="P6" s="80" t="s">
        <v>54</v>
      </c>
      <c r="Q6" s="85">
        <f>Calculations_MonitorArea!PCT_Final_Income</f>
        <v>0.7</v>
      </c>
      <c r="R6" s="94">
        <f>Q6*100</f>
        <v>70</v>
      </c>
    </row>
    <row r="7" spans="3:18" ht="16.149999999999999" thickBot="1">
      <c r="C7" s="7" t="s">
        <v>49</v>
      </c>
      <c r="D7" s="9">
        <v>180</v>
      </c>
      <c r="M7" s="4" t="s">
        <v>47</v>
      </c>
      <c r="N7" s="5">
        <f>VLOOKUP(O6,M13:N21,2)</f>
        <v>181</v>
      </c>
      <c r="P7" s="4" t="s">
        <v>47</v>
      </c>
      <c r="Q7" s="5">
        <f>VLOOKUP(R6,P13:Q113,2)</f>
        <v>126.99999999999986</v>
      </c>
    </row>
    <row r="8" spans="3:18">
      <c r="M8" s="4" t="s">
        <v>48</v>
      </c>
      <c r="N8" s="5">
        <v>3</v>
      </c>
      <c r="P8" s="4" t="s">
        <v>48</v>
      </c>
      <c r="Q8" s="5">
        <v>3</v>
      </c>
    </row>
    <row r="9" spans="3:18">
      <c r="M9" s="4" t="s">
        <v>49</v>
      </c>
      <c r="N9" s="5">
        <v>180</v>
      </c>
      <c r="P9" s="4" t="s">
        <v>49</v>
      </c>
      <c r="Q9" s="5">
        <v>180</v>
      </c>
    </row>
    <row r="10" spans="3:18">
      <c r="C10" s="81">
        <v>47</v>
      </c>
      <c r="D10" s="81">
        <v>90</v>
      </c>
      <c r="M10" s="81">
        <v>0</v>
      </c>
      <c r="N10" s="81">
        <v>8</v>
      </c>
      <c r="P10" s="81">
        <v>0</v>
      </c>
      <c r="Q10" s="81">
        <v>100</v>
      </c>
    </row>
    <row r="11" spans="3:18" ht="16.149999999999999" thickBot="1">
      <c r="C11" s="81">
        <v>1</v>
      </c>
      <c r="D11" s="81">
        <v>180</v>
      </c>
      <c r="H11" s="98"/>
      <c r="I11" s="98"/>
      <c r="J11" s="98"/>
      <c r="K11" s="98"/>
      <c r="M11" s="89">
        <v>1</v>
      </c>
      <c r="N11" s="89">
        <v>180</v>
      </c>
      <c r="P11" s="89">
        <v>1</v>
      </c>
      <c r="Q11" s="89">
        <v>180</v>
      </c>
    </row>
    <row r="12" spans="3:18" ht="16.149999999999999" thickBot="1">
      <c r="H12" s="98"/>
      <c r="I12" s="98"/>
      <c r="J12" s="98"/>
      <c r="K12" s="98"/>
      <c r="M12" s="92" t="s">
        <v>17</v>
      </c>
      <c r="N12" s="82" t="s">
        <v>53</v>
      </c>
      <c r="P12" s="90" t="s">
        <v>55</v>
      </c>
      <c r="Q12" s="91" t="s">
        <v>53</v>
      </c>
    </row>
    <row r="13" spans="3:18" ht="16.149999999999999" thickBot="1">
      <c r="M13" s="86">
        <v>0</v>
      </c>
      <c r="N13" s="3">
        <v>1</v>
      </c>
      <c r="P13" s="93">
        <v>0</v>
      </c>
      <c r="Q13" s="5">
        <v>1</v>
      </c>
    </row>
    <row r="14" spans="3:18" ht="16.149999999999999" thickBot="1">
      <c r="D14" s="83" t="s">
        <v>10</v>
      </c>
      <c r="E14" s="84" t="s">
        <v>53</v>
      </c>
      <c r="M14" s="87">
        <f>M13+1</f>
        <v>1</v>
      </c>
      <c r="N14" s="5">
        <f>N13+22.5</f>
        <v>23.5</v>
      </c>
      <c r="P14" s="87">
        <f>P13+1</f>
        <v>1</v>
      </c>
      <c r="Q14" s="5">
        <f>Q13+1.8</f>
        <v>2.8</v>
      </c>
    </row>
    <row r="15" spans="3:18">
      <c r="D15" s="4">
        <v>47</v>
      </c>
      <c r="E15" s="5">
        <v>1</v>
      </c>
      <c r="M15" s="87">
        <f t="shared" ref="M15:M21" si="0">M14+1</f>
        <v>2</v>
      </c>
      <c r="N15" s="5">
        <f t="shared" ref="N15:N21" si="1">N14+22.5</f>
        <v>46</v>
      </c>
      <c r="P15" s="87">
        <f t="shared" ref="P15:P78" si="2">P14+1</f>
        <v>2</v>
      </c>
      <c r="Q15" s="5">
        <f t="shared" ref="Q15:Q78" si="3">Q14+1.8</f>
        <v>4.5999999999999996</v>
      </c>
    </row>
    <row r="16" spans="3:18">
      <c r="D16" s="4">
        <f t="shared" ref="D16:D58" si="4">D15+1</f>
        <v>48</v>
      </c>
      <c r="E16" s="5">
        <f>E15+4.2</f>
        <v>5.2</v>
      </c>
      <c r="M16" s="87">
        <f t="shared" si="0"/>
        <v>3</v>
      </c>
      <c r="N16" s="5">
        <f t="shared" si="1"/>
        <v>68.5</v>
      </c>
      <c r="P16" s="87">
        <f t="shared" si="2"/>
        <v>3</v>
      </c>
      <c r="Q16" s="5">
        <f t="shared" si="3"/>
        <v>6.3999999999999995</v>
      </c>
    </row>
    <row r="17" spans="4:17">
      <c r="D17" s="4">
        <f t="shared" si="4"/>
        <v>49</v>
      </c>
      <c r="E17" s="5">
        <f t="shared" ref="E17:E58" si="5">E16+4.2</f>
        <v>9.4</v>
      </c>
      <c r="M17" s="87">
        <f t="shared" si="0"/>
        <v>4</v>
      </c>
      <c r="N17" s="5">
        <f t="shared" si="1"/>
        <v>91</v>
      </c>
      <c r="P17" s="87">
        <f t="shared" si="2"/>
        <v>4</v>
      </c>
      <c r="Q17" s="5">
        <f t="shared" si="3"/>
        <v>8.1999999999999993</v>
      </c>
    </row>
    <row r="18" spans="4:17">
      <c r="D18" s="4">
        <f t="shared" si="4"/>
        <v>50</v>
      </c>
      <c r="E18" s="5">
        <f t="shared" si="5"/>
        <v>13.600000000000001</v>
      </c>
      <c r="M18" s="87">
        <f t="shared" si="0"/>
        <v>5</v>
      </c>
      <c r="N18" s="5">
        <f t="shared" si="1"/>
        <v>113.5</v>
      </c>
      <c r="P18" s="87">
        <f t="shared" si="2"/>
        <v>5</v>
      </c>
      <c r="Q18" s="5">
        <f t="shared" si="3"/>
        <v>10</v>
      </c>
    </row>
    <row r="19" spans="4:17">
      <c r="D19" s="4">
        <f t="shared" si="4"/>
        <v>51</v>
      </c>
      <c r="E19" s="5">
        <f t="shared" si="5"/>
        <v>17.8</v>
      </c>
      <c r="M19" s="87">
        <f t="shared" si="0"/>
        <v>6</v>
      </c>
      <c r="N19" s="5">
        <f t="shared" si="1"/>
        <v>136</v>
      </c>
      <c r="P19" s="87">
        <f t="shared" si="2"/>
        <v>6</v>
      </c>
      <c r="Q19" s="5">
        <f t="shared" si="3"/>
        <v>11.8</v>
      </c>
    </row>
    <row r="20" spans="4:17">
      <c r="D20" s="4">
        <f t="shared" si="4"/>
        <v>52</v>
      </c>
      <c r="E20" s="5">
        <f t="shared" si="5"/>
        <v>22</v>
      </c>
      <c r="M20" s="87">
        <f t="shared" si="0"/>
        <v>7</v>
      </c>
      <c r="N20" s="5">
        <f t="shared" si="1"/>
        <v>158.5</v>
      </c>
      <c r="P20" s="87">
        <f t="shared" si="2"/>
        <v>7</v>
      </c>
      <c r="Q20" s="5">
        <f t="shared" si="3"/>
        <v>13.600000000000001</v>
      </c>
    </row>
    <row r="21" spans="4:17" ht="16.149999999999999" thickBot="1">
      <c r="D21" s="4">
        <f t="shared" si="4"/>
        <v>53</v>
      </c>
      <c r="E21" s="5">
        <f t="shared" si="5"/>
        <v>26.2</v>
      </c>
      <c r="M21" s="88">
        <f t="shared" si="0"/>
        <v>8</v>
      </c>
      <c r="N21" s="9">
        <f t="shared" si="1"/>
        <v>181</v>
      </c>
      <c r="P21" s="87">
        <f t="shared" si="2"/>
        <v>8</v>
      </c>
      <c r="Q21" s="5">
        <f t="shared" si="3"/>
        <v>15.400000000000002</v>
      </c>
    </row>
    <row r="22" spans="4:17">
      <c r="D22" s="4">
        <f t="shared" si="4"/>
        <v>54</v>
      </c>
      <c r="E22" s="5">
        <f t="shared" si="5"/>
        <v>30.4</v>
      </c>
      <c r="P22" s="87">
        <f t="shared" si="2"/>
        <v>9</v>
      </c>
      <c r="Q22" s="5">
        <f t="shared" si="3"/>
        <v>17.200000000000003</v>
      </c>
    </row>
    <row r="23" spans="4:17">
      <c r="D23" s="4">
        <f t="shared" si="4"/>
        <v>55</v>
      </c>
      <c r="E23" s="5">
        <f t="shared" si="5"/>
        <v>34.6</v>
      </c>
      <c r="P23" s="87">
        <f t="shared" si="2"/>
        <v>10</v>
      </c>
      <c r="Q23" s="5">
        <f t="shared" si="3"/>
        <v>19.000000000000004</v>
      </c>
    </row>
    <row r="24" spans="4:17">
      <c r="D24" s="4">
        <f t="shared" si="4"/>
        <v>56</v>
      </c>
      <c r="E24" s="5">
        <f t="shared" si="5"/>
        <v>38.800000000000004</v>
      </c>
      <c r="P24" s="87">
        <f t="shared" si="2"/>
        <v>11</v>
      </c>
      <c r="Q24" s="5">
        <f t="shared" si="3"/>
        <v>20.800000000000004</v>
      </c>
    </row>
    <row r="25" spans="4:17">
      <c r="D25" s="4">
        <f t="shared" si="4"/>
        <v>57</v>
      </c>
      <c r="E25" s="5">
        <f t="shared" si="5"/>
        <v>43.000000000000007</v>
      </c>
      <c r="P25" s="87">
        <f t="shared" si="2"/>
        <v>12</v>
      </c>
      <c r="Q25" s="5">
        <f t="shared" si="3"/>
        <v>22.600000000000005</v>
      </c>
    </row>
    <row r="26" spans="4:17">
      <c r="D26" s="4">
        <f t="shared" si="4"/>
        <v>58</v>
      </c>
      <c r="E26" s="5">
        <f t="shared" si="5"/>
        <v>47.20000000000001</v>
      </c>
      <c r="P26" s="87">
        <f t="shared" si="2"/>
        <v>13</v>
      </c>
      <c r="Q26" s="5">
        <f t="shared" si="3"/>
        <v>24.400000000000006</v>
      </c>
    </row>
    <row r="27" spans="4:17">
      <c r="D27" s="4">
        <f t="shared" si="4"/>
        <v>59</v>
      </c>
      <c r="E27" s="5">
        <f t="shared" si="5"/>
        <v>51.400000000000013</v>
      </c>
      <c r="P27" s="87">
        <f t="shared" si="2"/>
        <v>14</v>
      </c>
      <c r="Q27" s="5">
        <f t="shared" si="3"/>
        <v>26.200000000000006</v>
      </c>
    </row>
    <row r="28" spans="4:17">
      <c r="D28" s="4">
        <f t="shared" si="4"/>
        <v>60</v>
      </c>
      <c r="E28" s="5">
        <f t="shared" si="5"/>
        <v>55.600000000000016</v>
      </c>
      <c r="P28" s="87">
        <f t="shared" si="2"/>
        <v>15</v>
      </c>
      <c r="Q28" s="5">
        <f t="shared" si="3"/>
        <v>28.000000000000007</v>
      </c>
    </row>
    <row r="29" spans="4:17">
      <c r="D29" s="4">
        <f t="shared" si="4"/>
        <v>61</v>
      </c>
      <c r="E29" s="5">
        <f t="shared" si="5"/>
        <v>59.800000000000018</v>
      </c>
      <c r="P29" s="87">
        <f t="shared" si="2"/>
        <v>16</v>
      </c>
      <c r="Q29" s="5">
        <f t="shared" si="3"/>
        <v>29.800000000000008</v>
      </c>
    </row>
    <row r="30" spans="4:17">
      <c r="D30" s="4">
        <f t="shared" si="4"/>
        <v>62</v>
      </c>
      <c r="E30" s="5">
        <f t="shared" si="5"/>
        <v>64.000000000000014</v>
      </c>
      <c r="P30" s="87">
        <f t="shared" si="2"/>
        <v>17</v>
      </c>
      <c r="Q30" s="5">
        <f t="shared" si="3"/>
        <v>31.600000000000009</v>
      </c>
    </row>
    <row r="31" spans="4:17">
      <c r="D31" s="4">
        <f t="shared" si="4"/>
        <v>63</v>
      </c>
      <c r="E31" s="5">
        <f t="shared" si="5"/>
        <v>68.200000000000017</v>
      </c>
      <c r="P31" s="87">
        <f t="shared" si="2"/>
        <v>18</v>
      </c>
      <c r="Q31" s="5">
        <f t="shared" si="3"/>
        <v>33.400000000000006</v>
      </c>
    </row>
    <row r="32" spans="4:17">
      <c r="D32" s="4">
        <f t="shared" si="4"/>
        <v>64</v>
      </c>
      <c r="E32" s="5">
        <f t="shared" si="5"/>
        <v>72.40000000000002</v>
      </c>
      <c r="P32" s="87">
        <f t="shared" si="2"/>
        <v>19</v>
      </c>
      <c r="Q32" s="5">
        <f t="shared" si="3"/>
        <v>35.200000000000003</v>
      </c>
    </row>
    <row r="33" spans="4:17">
      <c r="D33" s="4">
        <f t="shared" si="4"/>
        <v>65</v>
      </c>
      <c r="E33" s="5">
        <f t="shared" si="5"/>
        <v>76.600000000000023</v>
      </c>
      <c r="P33" s="87">
        <f t="shared" si="2"/>
        <v>20</v>
      </c>
      <c r="Q33" s="5">
        <f t="shared" si="3"/>
        <v>37</v>
      </c>
    </row>
    <row r="34" spans="4:17">
      <c r="D34" s="4">
        <f t="shared" si="4"/>
        <v>66</v>
      </c>
      <c r="E34" s="5">
        <f t="shared" si="5"/>
        <v>80.800000000000026</v>
      </c>
      <c r="P34" s="87">
        <f t="shared" si="2"/>
        <v>21</v>
      </c>
      <c r="Q34" s="5">
        <f t="shared" si="3"/>
        <v>38.799999999999997</v>
      </c>
    </row>
    <row r="35" spans="4:17">
      <c r="D35" s="4">
        <f t="shared" si="4"/>
        <v>67</v>
      </c>
      <c r="E35" s="5">
        <f t="shared" si="5"/>
        <v>85.000000000000028</v>
      </c>
      <c r="P35" s="87">
        <f t="shared" si="2"/>
        <v>22</v>
      </c>
      <c r="Q35" s="5">
        <f t="shared" si="3"/>
        <v>40.599999999999994</v>
      </c>
    </row>
    <row r="36" spans="4:17">
      <c r="D36" s="4">
        <f t="shared" si="4"/>
        <v>68</v>
      </c>
      <c r="E36" s="5">
        <f t="shared" si="5"/>
        <v>89.200000000000031</v>
      </c>
      <c r="P36" s="87">
        <f t="shared" si="2"/>
        <v>23</v>
      </c>
      <c r="Q36" s="5">
        <f t="shared" si="3"/>
        <v>42.399999999999991</v>
      </c>
    </row>
    <row r="37" spans="4:17">
      <c r="D37" s="4">
        <f t="shared" si="4"/>
        <v>69</v>
      </c>
      <c r="E37" s="5">
        <f t="shared" si="5"/>
        <v>93.400000000000034</v>
      </c>
      <c r="P37" s="87">
        <f t="shared" si="2"/>
        <v>24</v>
      </c>
      <c r="Q37" s="5">
        <f t="shared" si="3"/>
        <v>44.199999999999989</v>
      </c>
    </row>
    <row r="38" spans="4:17">
      <c r="D38" s="4">
        <f t="shared" si="4"/>
        <v>70</v>
      </c>
      <c r="E38" s="5">
        <f t="shared" si="5"/>
        <v>97.600000000000037</v>
      </c>
      <c r="P38" s="87">
        <f t="shared" si="2"/>
        <v>25</v>
      </c>
      <c r="Q38" s="5">
        <f t="shared" si="3"/>
        <v>45.999999999999986</v>
      </c>
    </row>
    <row r="39" spans="4:17">
      <c r="D39" s="4">
        <f t="shared" si="4"/>
        <v>71</v>
      </c>
      <c r="E39" s="5">
        <f t="shared" si="5"/>
        <v>101.80000000000004</v>
      </c>
      <c r="P39" s="87">
        <f t="shared" si="2"/>
        <v>26</v>
      </c>
      <c r="Q39" s="5">
        <f t="shared" si="3"/>
        <v>47.799999999999983</v>
      </c>
    </row>
    <row r="40" spans="4:17">
      <c r="D40" s="4">
        <f t="shared" si="4"/>
        <v>72</v>
      </c>
      <c r="E40" s="5">
        <f t="shared" si="5"/>
        <v>106.00000000000004</v>
      </c>
      <c r="P40" s="87">
        <f t="shared" si="2"/>
        <v>27</v>
      </c>
      <c r="Q40" s="5">
        <f t="shared" si="3"/>
        <v>49.59999999999998</v>
      </c>
    </row>
    <row r="41" spans="4:17">
      <c r="D41" s="4">
        <f t="shared" si="4"/>
        <v>73</v>
      </c>
      <c r="E41" s="5">
        <f t="shared" si="5"/>
        <v>110.20000000000005</v>
      </c>
      <c r="P41" s="87">
        <f t="shared" si="2"/>
        <v>28</v>
      </c>
      <c r="Q41" s="5">
        <f t="shared" si="3"/>
        <v>51.399999999999977</v>
      </c>
    </row>
    <row r="42" spans="4:17">
      <c r="D42" s="4">
        <f t="shared" si="4"/>
        <v>74</v>
      </c>
      <c r="E42" s="5">
        <f t="shared" si="5"/>
        <v>114.40000000000005</v>
      </c>
      <c r="P42" s="87">
        <f t="shared" si="2"/>
        <v>29</v>
      </c>
      <c r="Q42" s="5">
        <f t="shared" si="3"/>
        <v>53.199999999999974</v>
      </c>
    </row>
    <row r="43" spans="4:17">
      <c r="D43" s="4">
        <f t="shared" si="4"/>
        <v>75</v>
      </c>
      <c r="E43" s="5">
        <f t="shared" si="5"/>
        <v>118.60000000000005</v>
      </c>
      <c r="P43" s="87">
        <f t="shared" si="2"/>
        <v>30</v>
      </c>
      <c r="Q43" s="5">
        <f t="shared" si="3"/>
        <v>54.999999999999972</v>
      </c>
    </row>
    <row r="44" spans="4:17">
      <c r="D44" s="4">
        <f t="shared" si="4"/>
        <v>76</v>
      </c>
      <c r="E44" s="5">
        <f t="shared" si="5"/>
        <v>122.80000000000005</v>
      </c>
      <c r="P44" s="87">
        <f t="shared" si="2"/>
        <v>31</v>
      </c>
      <c r="Q44" s="5">
        <f t="shared" si="3"/>
        <v>56.799999999999969</v>
      </c>
    </row>
    <row r="45" spans="4:17">
      <c r="D45" s="4">
        <f t="shared" si="4"/>
        <v>77</v>
      </c>
      <c r="E45" s="5">
        <f t="shared" si="5"/>
        <v>127.00000000000006</v>
      </c>
      <c r="P45" s="87">
        <f t="shared" si="2"/>
        <v>32</v>
      </c>
      <c r="Q45" s="5">
        <f t="shared" si="3"/>
        <v>58.599999999999966</v>
      </c>
    </row>
    <row r="46" spans="4:17">
      <c r="D46" s="4">
        <f t="shared" si="4"/>
        <v>78</v>
      </c>
      <c r="E46" s="5">
        <f t="shared" si="5"/>
        <v>131.20000000000005</v>
      </c>
      <c r="P46" s="87">
        <f t="shared" si="2"/>
        <v>33</v>
      </c>
      <c r="Q46" s="5">
        <f t="shared" si="3"/>
        <v>60.399999999999963</v>
      </c>
    </row>
    <row r="47" spans="4:17">
      <c r="D47" s="4">
        <f t="shared" si="4"/>
        <v>79</v>
      </c>
      <c r="E47" s="5">
        <f t="shared" si="5"/>
        <v>135.40000000000003</v>
      </c>
      <c r="P47" s="87">
        <f t="shared" si="2"/>
        <v>34</v>
      </c>
      <c r="Q47" s="5">
        <f t="shared" si="3"/>
        <v>62.19999999999996</v>
      </c>
    </row>
    <row r="48" spans="4:17">
      <c r="D48" s="4">
        <f t="shared" si="4"/>
        <v>80</v>
      </c>
      <c r="E48" s="5">
        <f t="shared" si="5"/>
        <v>139.60000000000002</v>
      </c>
      <c r="P48" s="87">
        <f t="shared" si="2"/>
        <v>35</v>
      </c>
      <c r="Q48" s="5">
        <f t="shared" si="3"/>
        <v>63.999999999999957</v>
      </c>
    </row>
    <row r="49" spans="4:17">
      <c r="D49" s="4">
        <f>D48+1</f>
        <v>81</v>
      </c>
      <c r="E49" s="5">
        <f t="shared" si="5"/>
        <v>143.80000000000001</v>
      </c>
      <c r="P49" s="87">
        <f t="shared" si="2"/>
        <v>36</v>
      </c>
      <c r="Q49" s="5">
        <f t="shared" si="3"/>
        <v>65.799999999999955</v>
      </c>
    </row>
    <row r="50" spans="4:17">
      <c r="D50" s="4">
        <f t="shared" si="4"/>
        <v>82</v>
      </c>
      <c r="E50" s="5">
        <f t="shared" si="5"/>
        <v>148</v>
      </c>
      <c r="P50" s="87">
        <f t="shared" si="2"/>
        <v>37</v>
      </c>
      <c r="Q50" s="5">
        <f t="shared" si="3"/>
        <v>67.599999999999952</v>
      </c>
    </row>
    <row r="51" spans="4:17">
      <c r="D51" s="4">
        <f t="shared" si="4"/>
        <v>83</v>
      </c>
      <c r="E51" s="5">
        <f t="shared" si="5"/>
        <v>152.19999999999999</v>
      </c>
      <c r="P51" s="87">
        <f t="shared" si="2"/>
        <v>38</v>
      </c>
      <c r="Q51" s="5">
        <f t="shared" si="3"/>
        <v>69.399999999999949</v>
      </c>
    </row>
    <row r="52" spans="4:17">
      <c r="D52" s="4">
        <f t="shared" si="4"/>
        <v>84</v>
      </c>
      <c r="E52" s="5">
        <f t="shared" si="5"/>
        <v>156.39999999999998</v>
      </c>
      <c r="P52" s="87">
        <f t="shared" si="2"/>
        <v>39</v>
      </c>
      <c r="Q52" s="5">
        <f t="shared" si="3"/>
        <v>71.199999999999946</v>
      </c>
    </row>
    <row r="53" spans="4:17">
      <c r="D53" s="4">
        <f t="shared" si="4"/>
        <v>85</v>
      </c>
      <c r="E53" s="5">
        <f t="shared" si="5"/>
        <v>160.59999999999997</v>
      </c>
      <c r="P53" s="87">
        <f t="shared" si="2"/>
        <v>40</v>
      </c>
      <c r="Q53" s="5">
        <f t="shared" si="3"/>
        <v>72.999999999999943</v>
      </c>
    </row>
    <row r="54" spans="4:17">
      <c r="D54" s="4">
        <f t="shared" si="4"/>
        <v>86</v>
      </c>
      <c r="E54" s="5">
        <f t="shared" si="5"/>
        <v>164.79999999999995</v>
      </c>
      <c r="P54" s="87">
        <f t="shared" si="2"/>
        <v>41</v>
      </c>
      <c r="Q54" s="5">
        <f t="shared" si="3"/>
        <v>74.79999999999994</v>
      </c>
    </row>
    <row r="55" spans="4:17">
      <c r="D55" s="4">
        <f t="shared" si="4"/>
        <v>87</v>
      </c>
      <c r="E55" s="5">
        <f t="shared" si="5"/>
        <v>168.99999999999994</v>
      </c>
      <c r="P55" s="87">
        <f t="shared" si="2"/>
        <v>42</v>
      </c>
      <c r="Q55" s="5">
        <f t="shared" si="3"/>
        <v>76.599999999999937</v>
      </c>
    </row>
    <row r="56" spans="4:17">
      <c r="D56" s="4">
        <f>D55+1</f>
        <v>88</v>
      </c>
      <c r="E56" s="5">
        <f t="shared" si="5"/>
        <v>173.19999999999993</v>
      </c>
      <c r="P56" s="87">
        <f t="shared" si="2"/>
        <v>43</v>
      </c>
      <c r="Q56" s="5">
        <f t="shared" si="3"/>
        <v>78.399999999999935</v>
      </c>
    </row>
    <row r="57" spans="4:17">
      <c r="D57" s="4">
        <f t="shared" si="4"/>
        <v>89</v>
      </c>
      <c r="E57" s="5">
        <f t="shared" si="5"/>
        <v>177.39999999999992</v>
      </c>
      <c r="P57" s="87">
        <f t="shared" si="2"/>
        <v>44</v>
      </c>
      <c r="Q57" s="5">
        <f t="shared" si="3"/>
        <v>80.199999999999932</v>
      </c>
    </row>
    <row r="58" spans="4:17" ht="16.149999999999999" thickBot="1">
      <c r="D58" s="7">
        <f t="shared" si="4"/>
        <v>90</v>
      </c>
      <c r="E58" s="9">
        <f t="shared" si="5"/>
        <v>181.59999999999991</v>
      </c>
      <c r="P58" s="87">
        <f t="shared" si="2"/>
        <v>45</v>
      </c>
      <c r="Q58" s="5">
        <f t="shared" si="3"/>
        <v>81.999999999999929</v>
      </c>
    </row>
    <row r="59" spans="4:17">
      <c r="P59" s="87">
        <f t="shared" si="2"/>
        <v>46</v>
      </c>
      <c r="Q59" s="5">
        <f t="shared" si="3"/>
        <v>83.799999999999926</v>
      </c>
    </row>
    <row r="60" spans="4:17">
      <c r="P60" s="87">
        <f t="shared" si="2"/>
        <v>47</v>
      </c>
      <c r="Q60" s="5">
        <f t="shared" si="3"/>
        <v>85.599999999999923</v>
      </c>
    </row>
    <row r="61" spans="4:17">
      <c r="P61" s="87">
        <f t="shared" si="2"/>
        <v>48</v>
      </c>
      <c r="Q61" s="5">
        <f t="shared" si="3"/>
        <v>87.39999999999992</v>
      </c>
    </row>
    <row r="62" spans="4:17">
      <c r="P62" s="87">
        <f t="shared" si="2"/>
        <v>49</v>
      </c>
      <c r="Q62" s="5">
        <f t="shared" si="3"/>
        <v>89.199999999999918</v>
      </c>
    </row>
    <row r="63" spans="4:17">
      <c r="P63" s="87">
        <f t="shared" si="2"/>
        <v>50</v>
      </c>
      <c r="Q63" s="5">
        <f t="shared" si="3"/>
        <v>90.999999999999915</v>
      </c>
    </row>
    <row r="64" spans="4:17">
      <c r="P64" s="87">
        <f t="shared" si="2"/>
        <v>51</v>
      </c>
      <c r="Q64" s="5">
        <f t="shared" si="3"/>
        <v>92.799999999999912</v>
      </c>
    </row>
    <row r="65" spans="16:17">
      <c r="P65" s="87">
        <f t="shared" si="2"/>
        <v>52</v>
      </c>
      <c r="Q65" s="5">
        <f t="shared" si="3"/>
        <v>94.599999999999909</v>
      </c>
    </row>
    <row r="66" spans="16:17">
      <c r="P66" s="87">
        <f t="shared" si="2"/>
        <v>53</v>
      </c>
      <c r="Q66" s="5">
        <f t="shared" si="3"/>
        <v>96.399999999999906</v>
      </c>
    </row>
    <row r="67" spans="16:17">
      <c r="P67" s="87">
        <f t="shared" si="2"/>
        <v>54</v>
      </c>
      <c r="Q67" s="5">
        <f t="shared" si="3"/>
        <v>98.199999999999903</v>
      </c>
    </row>
    <row r="68" spans="16:17">
      <c r="P68" s="87">
        <f t="shared" si="2"/>
        <v>55</v>
      </c>
      <c r="Q68" s="5">
        <f t="shared" si="3"/>
        <v>99.999999999999901</v>
      </c>
    </row>
    <row r="69" spans="16:17">
      <c r="P69" s="87">
        <f t="shared" si="2"/>
        <v>56</v>
      </c>
      <c r="Q69" s="5">
        <f t="shared" si="3"/>
        <v>101.7999999999999</v>
      </c>
    </row>
    <row r="70" spans="16:17">
      <c r="P70" s="87">
        <f t="shared" si="2"/>
        <v>57</v>
      </c>
      <c r="Q70" s="5">
        <f t="shared" si="3"/>
        <v>103.59999999999989</v>
      </c>
    </row>
    <row r="71" spans="16:17">
      <c r="P71" s="87">
        <f t="shared" si="2"/>
        <v>58</v>
      </c>
      <c r="Q71" s="5">
        <f t="shared" si="3"/>
        <v>105.39999999999989</v>
      </c>
    </row>
    <row r="72" spans="16:17">
      <c r="P72" s="87">
        <f t="shared" si="2"/>
        <v>59</v>
      </c>
      <c r="Q72" s="5">
        <f t="shared" si="3"/>
        <v>107.19999999999989</v>
      </c>
    </row>
    <row r="73" spans="16:17">
      <c r="P73" s="87">
        <f t="shared" si="2"/>
        <v>60</v>
      </c>
      <c r="Q73" s="5">
        <f t="shared" si="3"/>
        <v>108.99999999999989</v>
      </c>
    </row>
    <row r="74" spans="16:17">
      <c r="P74" s="87">
        <f t="shared" si="2"/>
        <v>61</v>
      </c>
      <c r="Q74" s="5">
        <f t="shared" si="3"/>
        <v>110.79999999999988</v>
      </c>
    </row>
    <row r="75" spans="16:17">
      <c r="P75" s="87">
        <f t="shared" si="2"/>
        <v>62</v>
      </c>
      <c r="Q75" s="5">
        <f t="shared" si="3"/>
        <v>112.59999999999988</v>
      </c>
    </row>
    <row r="76" spans="16:17">
      <c r="P76" s="87">
        <f t="shared" si="2"/>
        <v>63</v>
      </c>
      <c r="Q76" s="5">
        <f t="shared" si="3"/>
        <v>114.39999999999988</v>
      </c>
    </row>
    <row r="77" spans="16:17">
      <c r="P77" s="87">
        <f t="shared" si="2"/>
        <v>64</v>
      </c>
      <c r="Q77" s="5">
        <f t="shared" si="3"/>
        <v>116.19999999999987</v>
      </c>
    </row>
    <row r="78" spans="16:17">
      <c r="P78" s="87">
        <f t="shared" si="2"/>
        <v>65</v>
      </c>
      <c r="Q78" s="5">
        <f t="shared" si="3"/>
        <v>117.99999999999987</v>
      </c>
    </row>
    <row r="79" spans="16:17">
      <c r="P79" s="87">
        <f t="shared" ref="P79:P113" si="6">P78+1</f>
        <v>66</v>
      </c>
      <c r="Q79" s="5">
        <f t="shared" ref="Q79:Q113" si="7">Q78+1.8</f>
        <v>119.79999999999987</v>
      </c>
    </row>
    <row r="80" spans="16:17">
      <c r="P80" s="87">
        <f t="shared" si="6"/>
        <v>67</v>
      </c>
      <c r="Q80" s="5">
        <f t="shared" si="7"/>
        <v>121.59999999999987</v>
      </c>
    </row>
    <row r="81" spans="16:17">
      <c r="P81" s="87">
        <f t="shared" si="6"/>
        <v>68</v>
      </c>
      <c r="Q81" s="5">
        <f t="shared" si="7"/>
        <v>123.39999999999986</v>
      </c>
    </row>
    <row r="82" spans="16:17">
      <c r="P82" s="87">
        <f t="shared" si="6"/>
        <v>69</v>
      </c>
      <c r="Q82" s="5">
        <f t="shared" si="7"/>
        <v>125.19999999999986</v>
      </c>
    </row>
    <row r="83" spans="16:17">
      <c r="P83" s="87">
        <f t="shared" si="6"/>
        <v>70</v>
      </c>
      <c r="Q83" s="5">
        <f t="shared" si="7"/>
        <v>126.99999999999986</v>
      </c>
    </row>
    <row r="84" spans="16:17">
      <c r="P84" s="87">
        <f t="shared" si="6"/>
        <v>71</v>
      </c>
      <c r="Q84" s="5">
        <f t="shared" si="7"/>
        <v>128.79999999999987</v>
      </c>
    </row>
    <row r="85" spans="16:17">
      <c r="P85" s="87">
        <f t="shared" si="6"/>
        <v>72</v>
      </c>
      <c r="Q85" s="5">
        <f t="shared" si="7"/>
        <v>130.59999999999988</v>
      </c>
    </row>
    <row r="86" spans="16:17">
      <c r="P86" s="87">
        <f t="shared" si="6"/>
        <v>73</v>
      </c>
      <c r="Q86" s="5">
        <f t="shared" si="7"/>
        <v>132.39999999999989</v>
      </c>
    </row>
    <row r="87" spans="16:17">
      <c r="P87" s="87">
        <f t="shared" si="6"/>
        <v>74</v>
      </c>
      <c r="Q87" s="5">
        <f t="shared" si="7"/>
        <v>134.1999999999999</v>
      </c>
    </row>
    <row r="88" spans="16:17">
      <c r="P88" s="87">
        <f t="shared" si="6"/>
        <v>75</v>
      </c>
      <c r="Q88" s="5">
        <f t="shared" si="7"/>
        <v>135.99999999999991</v>
      </c>
    </row>
    <row r="89" spans="16:17">
      <c r="P89" s="87">
        <f t="shared" si="6"/>
        <v>76</v>
      </c>
      <c r="Q89" s="5">
        <f t="shared" si="7"/>
        <v>137.79999999999993</v>
      </c>
    </row>
    <row r="90" spans="16:17">
      <c r="P90" s="87">
        <f t="shared" si="6"/>
        <v>77</v>
      </c>
      <c r="Q90" s="5">
        <f t="shared" si="7"/>
        <v>139.59999999999994</v>
      </c>
    </row>
    <row r="91" spans="16:17">
      <c r="P91" s="87">
        <f t="shared" si="6"/>
        <v>78</v>
      </c>
      <c r="Q91" s="5">
        <f t="shared" si="7"/>
        <v>141.39999999999995</v>
      </c>
    </row>
    <row r="92" spans="16:17">
      <c r="P92" s="87">
        <f t="shared" si="6"/>
        <v>79</v>
      </c>
      <c r="Q92" s="5">
        <f t="shared" si="7"/>
        <v>143.19999999999996</v>
      </c>
    </row>
    <row r="93" spans="16:17">
      <c r="P93" s="87">
        <f t="shared" si="6"/>
        <v>80</v>
      </c>
      <c r="Q93" s="5">
        <f t="shared" si="7"/>
        <v>144.99999999999997</v>
      </c>
    </row>
    <row r="94" spans="16:17">
      <c r="P94" s="87">
        <f t="shared" si="6"/>
        <v>81</v>
      </c>
      <c r="Q94" s="5">
        <f t="shared" si="7"/>
        <v>146.79999999999998</v>
      </c>
    </row>
    <row r="95" spans="16:17">
      <c r="P95" s="87">
        <f t="shared" si="6"/>
        <v>82</v>
      </c>
      <c r="Q95" s="5">
        <f t="shared" si="7"/>
        <v>148.6</v>
      </c>
    </row>
    <row r="96" spans="16:17">
      <c r="P96" s="87">
        <f t="shared" si="6"/>
        <v>83</v>
      </c>
      <c r="Q96" s="5">
        <f t="shared" si="7"/>
        <v>150.4</v>
      </c>
    </row>
    <row r="97" spans="16:17">
      <c r="P97" s="87">
        <f t="shared" si="6"/>
        <v>84</v>
      </c>
      <c r="Q97" s="5">
        <f t="shared" si="7"/>
        <v>152.20000000000002</v>
      </c>
    </row>
    <row r="98" spans="16:17">
      <c r="P98" s="87">
        <f t="shared" si="6"/>
        <v>85</v>
      </c>
      <c r="Q98" s="5">
        <f t="shared" si="7"/>
        <v>154.00000000000003</v>
      </c>
    </row>
    <row r="99" spans="16:17">
      <c r="P99" s="87">
        <f t="shared" si="6"/>
        <v>86</v>
      </c>
      <c r="Q99" s="5">
        <f t="shared" si="7"/>
        <v>155.80000000000004</v>
      </c>
    </row>
    <row r="100" spans="16:17">
      <c r="P100" s="87">
        <f t="shared" si="6"/>
        <v>87</v>
      </c>
      <c r="Q100" s="5">
        <f t="shared" si="7"/>
        <v>157.60000000000005</v>
      </c>
    </row>
    <row r="101" spans="16:17">
      <c r="P101" s="87">
        <f t="shared" si="6"/>
        <v>88</v>
      </c>
      <c r="Q101" s="5">
        <f t="shared" si="7"/>
        <v>159.40000000000006</v>
      </c>
    </row>
    <row r="102" spans="16:17">
      <c r="P102" s="87">
        <f t="shared" si="6"/>
        <v>89</v>
      </c>
      <c r="Q102" s="5">
        <f t="shared" si="7"/>
        <v>161.20000000000007</v>
      </c>
    </row>
    <row r="103" spans="16:17">
      <c r="P103" s="87">
        <f t="shared" si="6"/>
        <v>90</v>
      </c>
      <c r="Q103" s="5">
        <f t="shared" si="7"/>
        <v>163.00000000000009</v>
      </c>
    </row>
    <row r="104" spans="16:17">
      <c r="P104" s="87">
        <f t="shared" si="6"/>
        <v>91</v>
      </c>
      <c r="Q104" s="5">
        <f t="shared" si="7"/>
        <v>164.8000000000001</v>
      </c>
    </row>
    <row r="105" spans="16:17">
      <c r="P105" s="87">
        <f t="shared" si="6"/>
        <v>92</v>
      </c>
      <c r="Q105" s="5">
        <f t="shared" si="7"/>
        <v>166.60000000000011</v>
      </c>
    </row>
    <row r="106" spans="16:17">
      <c r="P106" s="87">
        <f t="shared" si="6"/>
        <v>93</v>
      </c>
      <c r="Q106" s="5">
        <f t="shared" si="7"/>
        <v>168.40000000000012</v>
      </c>
    </row>
    <row r="107" spans="16:17">
      <c r="P107" s="87">
        <f t="shared" si="6"/>
        <v>94</v>
      </c>
      <c r="Q107" s="5">
        <f t="shared" si="7"/>
        <v>170.20000000000013</v>
      </c>
    </row>
    <row r="108" spans="16:17">
      <c r="P108" s="87">
        <f t="shared" si="6"/>
        <v>95</v>
      </c>
      <c r="Q108" s="5">
        <f t="shared" si="7"/>
        <v>172.00000000000014</v>
      </c>
    </row>
    <row r="109" spans="16:17">
      <c r="P109" s="87">
        <f t="shared" si="6"/>
        <v>96</v>
      </c>
      <c r="Q109" s="5">
        <f t="shared" si="7"/>
        <v>173.80000000000015</v>
      </c>
    </row>
    <row r="110" spans="16:17">
      <c r="P110" s="87">
        <f t="shared" si="6"/>
        <v>97</v>
      </c>
      <c r="Q110" s="5">
        <f t="shared" si="7"/>
        <v>175.60000000000016</v>
      </c>
    </row>
    <row r="111" spans="16:17">
      <c r="P111" s="87">
        <f t="shared" si="6"/>
        <v>98</v>
      </c>
      <c r="Q111" s="5">
        <f t="shared" si="7"/>
        <v>177.40000000000018</v>
      </c>
    </row>
    <row r="112" spans="16:17">
      <c r="P112" s="87">
        <f t="shared" si="6"/>
        <v>99</v>
      </c>
      <c r="Q112" s="5">
        <f t="shared" si="7"/>
        <v>179.20000000000019</v>
      </c>
    </row>
    <row r="113" spans="16:17" ht="16.149999999999999" thickBot="1">
      <c r="P113" s="88">
        <f t="shared" si="6"/>
        <v>100</v>
      </c>
      <c r="Q113" s="9">
        <f t="shared" si="7"/>
        <v>181.0000000000002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EE7D-24C6-4239-BE28-E355D673DF8B}">
  <sheetPr codeName="Sheet4"/>
  <dimension ref="A1:BO115"/>
  <sheetViews>
    <sheetView tabSelected="1" topLeftCell="A11" zoomScale="26" zoomScaleNormal="26" workbookViewId="0">
      <selection activeCell="AN131" sqref="AN131"/>
    </sheetView>
  </sheetViews>
  <sheetFormatPr defaultColWidth="11" defaultRowHeight="15.75"/>
  <cols>
    <col min="2" max="2" width="5.6875" customWidth="1"/>
    <col min="3" max="3" width="19.1875" bestFit="1" customWidth="1"/>
    <col min="8" max="8" width="11" customWidth="1"/>
    <col min="26" max="26" width="10.0625" bestFit="1" customWidth="1"/>
    <col min="29" max="29" width="13" bestFit="1" customWidth="1"/>
    <col min="30" max="30" width="12.75" bestFit="1" customWidth="1"/>
    <col min="31" max="31" width="12.125" bestFit="1" customWidth="1"/>
    <col min="33" max="33" width="13.375" customWidth="1"/>
    <col min="34" max="34" width="11.125" customWidth="1"/>
    <col min="35" max="35" width="19.5625" customWidth="1"/>
    <col min="36" max="37" width="13.625" bestFit="1" customWidth="1"/>
  </cols>
  <sheetData>
    <row r="1" spans="1:67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</row>
    <row r="2" spans="1:67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</row>
    <row r="3" spans="1:67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</row>
    <row r="4" spans="1:67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</row>
    <row r="5" spans="1:67">
      <c r="A5" s="36"/>
      <c r="B5" s="36"/>
      <c r="C5" s="36"/>
      <c r="D5" s="37"/>
      <c r="E5" s="36"/>
      <c r="F5" s="36"/>
      <c r="G5" s="36"/>
      <c r="H5" s="36"/>
      <c r="I5" s="36"/>
      <c r="J5" s="36"/>
      <c r="K5" s="36"/>
      <c r="L5" s="36"/>
      <c r="M5" s="36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</row>
    <row r="6" spans="1:67">
      <c r="A6" s="36"/>
      <c r="B6" s="36"/>
      <c r="C6" s="36"/>
      <c r="D6" s="37"/>
      <c r="E6" s="36"/>
      <c r="F6" s="36"/>
      <c r="G6" s="36"/>
      <c r="H6" s="36"/>
      <c r="I6" s="36"/>
      <c r="J6" s="36"/>
      <c r="K6" s="36"/>
      <c r="L6" s="36"/>
      <c r="M6" s="36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 t="s">
        <v>21</v>
      </c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</row>
    <row r="7" spans="1:67">
      <c r="A7" s="36"/>
      <c r="B7" s="36"/>
      <c r="C7" s="36"/>
      <c r="D7" s="38"/>
      <c r="E7" s="36"/>
      <c r="F7" s="36"/>
      <c r="G7" s="36"/>
      <c r="H7" s="36"/>
      <c r="I7" s="36"/>
      <c r="J7" s="36"/>
      <c r="K7" s="36"/>
      <c r="L7" s="36"/>
      <c r="M7" s="36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</row>
    <row r="8" spans="1:67">
      <c r="A8" s="36"/>
      <c r="B8" s="36"/>
      <c r="C8" s="36"/>
      <c r="D8" s="37"/>
      <c r="E8" s="36"/>
      <c r="F8" s="36"/>
      <c r="G8" s="36"/>
      <c r="H8" s="36"/>
      <c r="I8" s="36"/>
      <c r="J8" s="36"/>
      <c r="K8" s="36"/>
      <c r="L8" s="36"/>
      <c r="M8" s="36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45"/>
      <c r="AT8" s="45"/>
      <c r="AU8" s="46"/>
      <c r="AV8" s="46"/>
      <c r="AW8" s="45"/>
      <c r="AX8" s="46"/>
      <c r="AY8" s="24"/>
      <c r="AZ8" s="25"/>
      <c r="BA8" s="45"/>
      <c r="BB8" s="46"/>
      <c r="BC8" s="45"/>
      <c r="BD8" s="46"/>
      <c r="BE8" s="47"/>
      <c r="BF8" s="24"/>
      <c r="BG8" s="24"/>
      <c r="BH8" s="24"/>
      <c r="BI8" s="24"/>
      <c r="BJ8" s="24"/>
      <c r="BK8" s="24"/>
      <c r="BL8" s="24"/>
      <c r="BM8" s="24"/>
      <c r="BN8" s="24"/>
      <c r="BO8" s="24"/>
    </row>
    <row r="9" spans="1:67">
      <c r="A9" s="36"/>
      <c r="B9" s="36"/>
      <c r="C9" s="36"/>
      <c r="D9" s="39"/>
      <c r="E9" s="36"/>
      <c r="F9" s="36"/>
      <c r="G9" s="36"/>
      <c r="H9" s="36"/>
      <c r="I9" s="36"/>
      <c r="J9" s="36"/>
      <c r="K9" s="36"/>
      <c r="L9" s="36"/>
      <c r="M9" s="36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46"/>
      <c r="AT9" s="46"/>
      <c r="AU9" s="46"/>
      <c r="AV9" s="46"/>
      <c r="AW9" s="45"/>
      <c r="AX9" s="46"/>
      <c r="AY9" s="24"/>
      <c r="AZ9" s="34"/>
      <c r="BA9" s="46"/>
      <c r="BB9" s="46"/>
      <c r="BC9" s="46"/>
      <c r="BD9" s="46"/>
      <c r="BE9" s="47"/>
      <c r="BF9" s="24"/>
      <c r="BG9" s="24"/>
      <c r="BH9" s="24"/>
      <c r="BI9" s="24"/>
      <c r="BJ9" s="24"/>
      <c r="BK9" s="24"/>
      <c r="BL9" s="24"/>
      <c r="BM9" s="24"/>
      <c r="BN9" s="24"/>
      <c r="BO9" s="24"/>
    </row>
    <row r="10" spans="1:67">
      <c r="A10" s="36"/>
      <c r="B10" s="36"/>
      <c r="C10" s="36"/>
      <c r="D10" s="39"/>
      <c r="E10" s="36"/>
      <c r="F10" s="36"/>
      <c r="G10" s="36"/>
      <c r="H10" s="36"/>
      <c r="I10" s="36"/>
      <c r="J10" s="36"/>
      <c r="K10" s="36"/>
      <c r="L10" s="36"/>
      <c r="M10" s="36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46"/>
      <c r="AT10" s="46"/>
      <c r="AU10" s="46"/>
      <c r="AV10" s="46"/>
      <c r="AW10" s="45"/>
      <c r="AX10" s="46"/>
      <c r="AY10" s="24"/>
      <c r="AZ10" s="34"/>
      <c r="BA10" s="46"/>
      <c r="BB10" s="46"/>
      <c r="BC10" s="46"/>
      <c r="BD10" s="46"/>
      <c r="BE10" s="47"/>
      <c r="BF10" s="24"/>
      <c r="BG10" s="24"/>
      <c r="BH10" s="24"/>
      <c r="BI10" s="24"/>
      <c r="BJ10" s="24"/>
      <c r="BK10" s="24"/>
      <c r="BL10" s="24"/>
      <c r="BM10" s="24"/>
      <c r="BN10" s="24"/>
      <c r="BO10" s="24"/>
    </row>
    <row r="11" spans="1:67">
      <c r="A11" s="36"/>
      <c r="B11" s="36"/>
      <c r="C11" s="36"/>
      <c r="D11" s="39"/>
      <c r="E11" s="36"/>
      <c r="F11" s="36"/>
      <c r="G11" s="36"/>
      <c r="H11" s="36"/>
      <c r="I11" s="36"/>
      <c r="J11" s="36"/>
      <c r="K11" s="36"/>
      <c r="L11" s="36"/>
      <c r="M11" s="36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46"/>
      <c r="AT11" s="46"/>
      <c r="AU11" s="46"/>
      <c r="AV11" s="46"/>
      <c r="AW11" s="45"/>
      <c r="AX11" s="46"/>
      <c r="AY11" s="24"/>
      <c r="AZ11" s="34"/>
      <c r="BA11" s="46"/>
      <c r="BB11" s="46"/>
      <c r="BC11" s="46"/>
      <c r="BD11" s="46"/>
      <c r="BE11" s="47"/>
      <c r="BF11" s="24"/>
      <c r="BG11" s="24"/>
      <c r="BH11" s="24"/>
      <c r="BI11" s="24"/>
      <c r="BJ11" s="24"/>
      <c r="BK11" s="24"/>
      <c r="BL11" s="24"/>
      <c r="BM11" s="24"/>
      <c r="BN11" s="24"/>
      <c r="BO11" s="24"/>
    </row>
    <row r="12" spans="1:67">
      <c r="A12" s="36"/>
      <c r="B12" s="36"/>
      <c r="C12" s="36"/>
      <c r="D12" s="39"/>
      <c r="E12" s="36"/>
      <c r="F12" s="36"/>
      <c r="G12" s="36"/>
      <c r="H12" s="36"/>
      <c r="I12" s="36"/>
      <c r="J12" s="36"/>
      <c r="K12" s="36"/>
      <c r="L12" s="36"/>
      <c r="M12" s="36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46"/>
      <c r="AT12" s="46"/>
      <c r="AU12" s="46"/>
      <c r="AV12" s="46"/>
      <c r="AW12" s="45"/>
      <c r="AX12" s="46"/>
      <c r="AY12" s="24"/>
      <c r="AZ12" s="34"/>
      <c r="BA12" s="46"/>
      <c r="BB12" s="46"/>
      <c r="BC12" s="46"/>
      <c r="BD12" s="46"/>
      <c r="BE12" s="47"/>
      <c r="BF12" s="24"/>
      <c r="BG12" s="24"/>
      <c r="BH12" s="24"/>
      <c r="BI12" s="24"/>
      <c r="BJ12" s="24"/>
      <c r="BK12" s="24"/>
      <c r="BL12" s="24"/>
      <c r="BM12" s="24"/>
      <c r="BN12" s="24"/>
      <c r="BO12" s="24"/>
    </row>
    <row r="13" spans="1:67">
      <c r="A13" s="36"/>
      <c r="B13" s="36"/>
      <c r="C13" s="36"/>
      <c r="D13" s="39"/>
      <c r="E13" s="36"/>
      <c r="F13" s="36"/>
      <c r="G13" s="36"/>
      <c r="H13" s="36"/>
      <c r="I13" s="36"/>
      <c r="J13" s="36"/>
      <c r="K13" s="36"/>
      <c r="L13" s="36"/>
      <c r="M13" s="36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46"/>
      <c r="AT13" s="46"/>
      <c r="AU13" s="46"/>
      <c r="AV13" s="46"/>
      <c r="AW13" s="45"/>
      <c r="AX13" s="46"/>
      <c r="AY13" s="24"/>
      <c r="AZ13" s="34"/>
      <c r="BA13" s="46"/>
      <c r="BB13" s="46"/>
      <c r="BC13" s="46"/>
      <c r="BD13" s="46"/>
      <c r="BE13" s="47"/>
      <c r="BF13" s="24"/>
      <c r="BG13" s="24"/>
      <c r="BH13" s="24"/>
      <c r="BI13" s="24"/>
      <c r="BJ13" s="24"/>
      <c r="BK13" s="24"/>
      <c r="BL13" s="24"/>
      <c r="BM13" s="24"/>
      <c r="BN13" s="24"/>
      <c r="BO13" s="24"/>
    </row>
    <row r="14" spans="1:67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46"/>
      <c r="AT14" s="46"/>
      <c r="AU14" s="46"/>
      <c r="AV14" s="46"/>
      <c r="AW14" s="45"/>
      <c r="AX14" s="46"/>
      <c r="AY14" s="24"/>
      <c r="AZ14" s="34"/>
      <c r="BA14" s="46"/>
      <c r="BB14" s="46"/>
      <c r="BC14" s="46"/>
      <c r="BD14" s="46"/>
      <c r="BE14" s="47"/>
      <c r="BF14" s="24"/>
      <c r="BG14" s="24"/>
      <c r="BH14" s="24"/>
      <c r="BI14" s="24"/>
      <c r="BJ14" s="24"/>
      <c r="BK14" s="24"/>
      <c r="BL14" s="24"/>
      <c r="BM14" s="24"/>
      <c r="BN14" s="24"/>
      <c r="BO14" s="24"/>
    </row>
    <row r="15" spans="1:67">
      <c r="A15" s="36"/>
      <c r="B15" s="36"/>
      <c r="C15" s="36"/>
      <c r="D15" s="40"/>
      <c r="E15" s="36"/>
      <c r="F15" s="36"/>
      <c r="G15" s="36"/>
      <c r="H15" s="36"/>
      <c r="I15" s="36"/>
      <c r="J15" s="36"/>
      <c r="K15" s="36"/>
      <c r="L15" s="36"/>
      <c r="M15" s="36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46"/>
      <c r="AT15" s="46"/>
      <c r="AU15" s="46"/>
      <c r="AV15" s="46"/>
      <c r="AW15" s="45"/>
      <c r="AX15" s="46"/>
      <c r="AY15" s="24"/>
      <c r="AZ15" s="34"/>
      <c r="BA15" s="46"/>
      <c r="BB15" s="46"/>
      <c r="BC15" s="46"/>
      <c r="BD15" s="46"/>
      <c r="BE15" s="47"/>
      <c r="BF15" s="24"/>
      <c r="BG15" s="24"/>
      <c r="BH15" s="24"/>
      <c r="BI15" s="24"/>
      <c r="BJ15" s="24"/>
      <c r="BK15" s="24"/>
      <c r="BL15" s="24"/>
      <c r="BM15" s="24"/>
      <c r="BN15" s="24"/>
      <c r="BO15" s="24"/>
    </row>
    <row r="16" spans="1:67">
      <c r="A16" s="36"/>
      <c r="B16" s="36"/>
      <c r="C16" s="36"/>
      <c r="D16" s="39"/>
      <c r="E16" s="36"/>
      <c r="F16" s="36"/>
      <c r="G16" s="36"/>
      <c r="H16" s="36"/>
      <c r="I16" s="36"/>
      <c r="J16" s="36"/>
      <c r="K16" s="36"/>
      <c r="L16" s="36"/>
      <c r="M16" s="36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46"/>
      <c r="AT16" s="46"/>
      <c r="AU16" s="46"/>
      <c r="AV16" s="46"/>
      <c r="AW16" s="45"/>
      <c r="AX16" s="46"/>
      <c r="AY16" s="24"/>
      <c r="AZ16" s="34"/>
      <c r="BA16" s="46"/>
      <c r="BB16" s="46"/>
      <c r="BC16" s="46"/>
      <c r="BD16" s="46"/>
      <c r="BE16" s="47"/>
      <c r="BF16" s="24"/>
      <c r="BG16" s="24"/>
      <c r="BH16" s="24"/>
      <c r="BI16" s="24"/>
      <c r="BJ16" s="24"/>
      <c r="BK16" s="24"/>
      <c r="BL16" s="24"/>
      <c r="BM16" s="24"/>
      <c r="BN16" s="24"/>
      <c r="BO16" s="24"/>
    </row>
    <row r="17" spans="1:67" ht="16.149999999999999" thickBot="1">
      <c r="A17" s="36"/>
      <c r="B17" s="36"/>
      <c r="C17" s="36"/>
      <c r="D17" s="40"/>
      <c r="E17" s="36"/>
      <c r="F17" s="36"/>
      <c r="G17" s="36"/>
      <c r="H17" s="36"/>
      <c r="I17" s="36"/>
      <c r="J17" s="36"/>
      <c r="K17" s="36"/>
      <c r="L17" s="36"/>
      <c r="M17" s="36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46"/>
      <c r="AT17" s="46"/>
      <c r="AU17" s="46"/>
      <c r="AV17" s="46"/>
      <c r="AW17" s="45"/>
      <c r="AX17" s="46"/>
      <c r="AY17" s="24"/>
      <c r="AZ17" s="34"/>
      <c r="BA17" s="46"/>
      <c r="BB17" s="46"/>
      <c r="BC17" s="46"/>
      <c r="BD17" s="46"/>
      <c r="BE17" s="47"/>
      <c r="BF17" s="24"/>
      <c r="BG17" s="24"/>
      <c r="BH17" s="24"/>
      <c r="BI17" s="24"/>
      <c r="BJ17" s="24"/>
      <c r="BK17" s="24"/>
      <c r="BL17" s="24"/>
      <c r="BM17" s="24"/>
      <c r="BN17" s="24"/>
      <c r="BO17" s="24"/>
    </row>
    <row r="18" spans="1:67" ht="34.5" customHeight="1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104" t="str">
        <f>Calculations_MonitorArea!J17</f>
        <v>)</v>
      </c>
      <c r="AJ18" s="24"/>
      <c r="AK18" s="24"/>
      <c r="AL18" s="24"/>
      <c r="AM18" s="24"/>
      <c r="AN18" s="24"/>
      <c r="AO18" s="24"/>
      <c r="AP18" s="24"/>
      <c r="AQ18" s="24"/>
      <c r="AR18" s="24"/>
      <c r="AS18" s="46"/>
      <c r="AT18" s="46"/>
      <c r="AU18" s="46"/>
      <c r="AV18" s="46"/>
      <c r="AW18" s="45"/>
      <c r="AX18" s="46"/>
      <c r="AY18" s="24"/>
      <c r="AZ18" s="34"/>
      <c r="BA18" s="46"/>
      <c r="BB18" s="46"/>
      <c r="BC18" s="46"/>
      <c r="BD18" s="46"/>
      <c r="BE18" s="47"/>
      <c r="BF18" s="24"/>
      <c r="BG18" s="24"/>
      <c r="BH18" s="24"/>
      <c r="BI18" s="24"/>
      <c r="BJ18" s="24"/>
      <c r="BK18" s="24"/>
      <c r="BL18" s="24"/>
      <c r="BM18" s="24"/>
      <c r="BN18" s="24"/>
      <c r="BO18" s="24"/>
    </row>
    <row r="19" spans="1:67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105"/>
      <c r="AJ19" s="24"/>
      <c r="AK19" s="24"/>
      <c r="AL19" s="24"/>
      <c r="AM19" s="24"/>
      <c r="AN19" s="24"/>
      <c r="AO19" s="24"/>
      <c r="AP19" s="24"/>
      <c r="AQ19" s="24"/>
      <c r="AR19" s="24"/>
      <c r="AS19" s="46"/>
      <c r="AT19" s="46"/>
      <c r="AU19" s="46"/>
      <c r="AV19" s="46"/>
      <c r="AW19" s="45"/>
      <c r="AX19" s="46"/>
      <c r="AY19" s="24"/>
      <c r="AZ19" s="34"/>
      <c r="BA19" s="46"/>
      <c r="BB19" s="46"/>
      <c r="BC19" s="46"/>
      <c r="BD19" s="46"/>
      <c r="BE19" s="47"/>
      <c r="BF19" s="24"/>
      <c r="BG19" s="24"/>
      <c r="BH19" s="24"/>
      <c r="BI19" s="24"/>
      <c r="BJ19" s="24"/>
      <c r="BK19" s="24"/>
      <c r="BL19" s="24"/>
      <c r="BM19" s="24"/>
      <c r="BN19" s="24"/>
      <c r="BO19" s="24"/>
    </row>
    <row r="20" spans="1:67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74"/>
      <c r="S20" s="36"/>
      <c r="T20" s="36"/>
      <c r="U20" s="36"/>
      <c r="V20" s="36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105"/>
      <c r="AJ20" s="24"/>
      <c r="AK20" s="24"/>
      <c r="AL20" s="24"/>
      <c r="AM20" s="24"/>
      <c r="AN20" s="24"/>
      <c r="AO20" s="24"/>
      <c r="AP20" s="24"/>
      <c r="AQ20" s="24"/>
      <c r="AR20" s="24"/>
      <c r="AS20" s="46"/>
      <c r="AT20" s="46"/>
      <c r="AU20" s="46"/>
      <c r="AV20" s="46"/>
      <c r="AW20" s="45"/>
      <c r="AX20" s="46"/>
      <c r="AY20" s="24"/>
      <c r="AZ20" s="34"/>
      <c r="BA20" s="46"/>
      <c r="BB20" s="46"/>
      <c r="BC20" s="46"/>
      <c r="BD20" s="46"/>
      <c r="BE20" s="47"/>
      <c r="BF20" s="24"/>
      <c r="BG20" s="24"/>
      <c r="BH20" s="24"/>
      <c r="BI20" s="24"/>
      <c r="BJ20" s="24"/>
      <c r="BK20" s="24"/>
      <c r="BL20" s="24"/>
      <c r="BM20" s="24"/>
      <c r="BN20" s="24"/>
      <c r="BO20" s="24"/>
    </row>
    <row r="21" spans="1:67" ht="15.75" customHeight="1">
      <c r="A21" s="36"/>
      <c r="B21" s="36"/>
      <c r="C21" s="41"/>
      <c r="D21" s="42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8"/>
      <c r="R21" s="36"/>
      <c r="S21" s="36"/>
      <c r="T21" s="36"/>
      <c r="U21" s="36"/>
      <c r="V21" s="36"/>
      <c r="W21" s="24"/>
      <c r="X21" s="24"/>
      <c r="Y21" s="24"/>
      <c r="Z21" s="24"/>
      <c r="AA21" s="24"/>
      <c r="AB21" s="24"/>
      <c r="AC21" s="24"/>
      <c r="AD21" s="24"/>
      <c r="AE21" s="24"/>
      <c r="AF21" s="52"/>
      <c r="AG21" s="52"/>
      <c r="AH21" s="52"/>
      <c r="AI21" s="105"/>
      <c r="AJ21" s="24"/>
      <c r="AK21" s="24"/>
      <c r="AL21" s="24"/>
      <c r="AM21" s="24"/>
      <c r="AN21" s="24"/>
      <c r="AO21" s="24"/>
      <c r="AP21" s="24"/>
      <c r="AQ21" s="24"/>
      <c r="AR21" s="24"/>
      <c r="AS21" s="46"/>
      <c r="AT21" s="46"/>
      <c r="AU21" s="46"/>
      <c r="AV21" s="46"/>
      <c r="AW21" s="45"/>
      <c r="AX21" s="46"/>
      <c r="AY21" s="24"/>
      <c r="AZ21" s="34"/>
      <c r="BA21" s="46"/>
      <c r="BB21" s="46"/>
      <c r="BC21" s="46"/>
      <c r="BD21" s="46"/>
      <c r="BE21" s="47"/>
      <c r="BF21" s="24"/>
      <c r="BG21" s="24"/>
      <c r="BH21" s="24"/>
      <c r="BI21" s="24"/>
      <c r="BJ21" s="24"/>
      <c r="BK21" s="24"/>
      <c r="BL21" s="24"/>
      <c r="BM21" s="24"/>
      <c r="BN21" s="24"/>
      <c r="BO21" s="24"/>
    </row>
    <row r="22" spans="1:67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75"/>
      <c r="R22" s="36"/>
      <c r="S22" s="36"/>
      <c r="T22" s="36"/>
      <c r="U22" s="36"/>
      <c r="V22" s="36"/>
      <c r="W22" s="24"/>
      <c r="X22" s="24"/>
      <c r="Y22" s="24"/>
      <c r="Z22" s="24"/>
      <c r="AA22" s="24"/>
      <c r="AB22" s="24"/>
      <c r="AC22" s="24"/>
      <c r="AD22" s="24"/>
      <c r="AE22" s="24"/>
      <c r="AF22" s="52"/>
      <c r="AG22" s="52"/>
      <c r="AH22" s="52"/>
      <c r="AI22" s="105"/>
      <c r="AJ22" s="24"/>
      <c r="AK22" s="24"/>
      <c r="AL22" s="24"/>
      <c r="AM22" s="24"/>
      <c r="AN22" s="24"/>
      <c r="AO22" s="24"/>
      <c r="AP22" s="24"/>
      <c r="AQ22" s="24"/>
      <c r="AR22" s="24"/>
      <c r="AS22" s="46"/>
      <c r="AT22" s="46"/>
      <c r="AU22" s="46"/>
      <c r="AV22" s="46"/>
      <c r="AW22" s="45"/>
      <c r="AX22" s="46"/>
      <c r="AY22" s="24"/>
      <c r="AZ22" s="34"/>
      <c r="BA22" s="46"/>
      <c r="BB22" s="46"/>
      <c r="BC22" s="46"/>
      <c r="BD22" s="46"/>
      <c r="BE22" s="47"/>
      <c r="BF22" s="24"/>
      <c r="BG22" s="24"/>
      <c r="BH22" s="24"/>
      <c r="BI22" s="24"/>
      <c r="BJ22" s="24"/>
      <c r="BK22" s="24"/>
      <c r="BL22" s="24"/>
      <c r="BM22" s="24"/>
      <c r="BN22" s="24"/>
      <c r="BO22" s="24"/>
    </row>
    <row r="23" spans="1:67" ht="16.149999999999999" thickBot="1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75"/>
      <c r="R23" s="36"/>
      <c r="S23" s="36"/>
      <c r="T23" s="36"/>
      <c r="U23" s="36"/>
      <c r="V23" s="36"/>
      <c r="W23" s="24"/>
      <c r="X23" s="24"/>
      <c r="Y23" s="24"/>
      <c r="Z23" s="24"/>
      <c r="AA23" s="24"/>
      <c r="AB23" s="24"/>
      <c r="AC23" s="24"/>
      <c r="AD23" s="24"/>
      <c r="AE23" s="24"/>
      <c r="AF23" s="52"/>
      <c r="AG23" s="52"/>
      <c r="AH23" s="52"/>
      <c r="AI23" s="106"/>
      <c r="AJ23" s="24"/>
      <c r="AK23" s="24"/>
      <c r="AL23" s="24"/>
      <c r="AM23" s="24"/>
      <c r="AN23" s="24"/>
      <c r="AO23" s="24"/>
      <c r="AP23" s="24"/>
      <c r="AQ23" s="24"/>
      <c r="AR23" s="24"/>
      <c r="AS23" s="46"/>
      <c r="AT23" s="46"/>
      <c r="AU23" s="46"/>
      <c r="AV23" s="46"/>
      <c r="AW23" s="45"/>
      <c r="AX23" s="46"/>
      <c r="AY23" s="24"/>
      <c r="AZ23" s="34"/>
      <c r="BA23" s="46"/>
      <c r="BB23" s="46"/>
      <c r="BC23" s="46"/>
      <c r="BD23" s="46"/>
      <c r="BE23" s="47"/>
      <c r="BF23" s="24"/>
      <c r="BG23" s="24"/>
      <c r="BH23" s="24"/>
      <c r="BI23" s="24"/>
      <c r="BJ23" s="24"/>
      <c r="BK23" s="24"/>
      <c r="BL23" s="24"/>
      <c r="BM23" s="24"/>
      <c r="BN23" s="24"/>
      <c r="BO23" s="24"/>
    </row>
    <row r="24" spans="1:67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75"/>
      <c r="R24" s="36"/>
      <c r="S24" s="36"/>
      <c r="T24" s="36"/>
      <c r="U24" s="36"/>
      <c r="V24" s="36"/>
      <c r="W24" s="24"/>
      <c r="X24" s="24"/>
      <c r="Y24" s="24"/>
      <c r="Z24" s="24"/>
      <c r="AA24" s="24"/>
      <c r="AB24" s="24"/>
      <c r="AC24" s="24"/>
      <c r="AD24" s="24"/>
      <c r="AE24" s="24"/>
      <c r="AF24" s="52"/>
      <c r="AG24" s="52"/>
      <c r="AH24" s="52"/>
      <c r="AI24" s="52"/>
      <c r="AJ24" s="24"/>
      <c r="AK24" s="24"/>
      <c r="AL24" s="24"/>
      <c r="AM24" s="24"/>
      <c r="AN24" s="24"/>
      <c r="AO24" s="24"/>
      <c r="AP24" s="24"/>
      <c r="AQ24" s="24"/>
      <c r="AR24" s="24"/>
      <c r="AS24" s="46"/>
      <c r="AT24" s="46"/>
      <c r="AU24" s="46"/>
      <c r="AV24" s="46"/>
      <c r="AW24" s="45"/>
      <c r="AX24" s="46"/>
      <c r="AY24" s="24"/>
      <c r="AZ24" s="34"/>
      <c r="BA24" s="46"/>
      <c r="BB24" s="46"/>
      <c r="BC24" s="46"/>
      <c r="BD24" s="46"/>
      <c r="BE24" s="47"/>
      <c r="BF24" s="24"/>
      <c r="BG24" s="24"/>
      <c r="BH24" s="24"/>
      <c r="BI24" s="24"/>
      <c r="BJ24" s="24"/>
      <c r="BK24" s="24"/>
      <c r="BL24" s="24"/>
      <c r="BM24" s="24"/>
      <c r="BN24" s="24"/>
      <c r="BO24" s="24"/>
    </row>
    <row r="25" spans="1:67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75"/>
      <c r="R25" s="36"/>
      <c r="S25" s="36"/>
      <c r="T25" s="36"/>
      <c r="U25" s="36"/>
      <c r="V25" s="36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52"/>
      <c r="AJ25" s="24"/>
      <c r="AK25" s="24"/>
      <c r="AL25" s="24"/>
      <c r="AM25" s="24"/>
      <c r="AN25" s="24"/>
      <c r="AO25" s="24"/>
      <c r="AP25" s="24"/>
      <c r="AQ25" s="24"/>
      <c r="AR25" s="24"/>
      <c r="AS25" s="46"/>
      <c r="AT25" s="46"/>
      <c r="AU25" s="46"/>
      <c r="AV25" s="46"/>
      <c r="AW25" s="45"/>
      <c r="AX25" s="46"/>
      <c r="AY25" s="24"/>
      <c r="AZ25" s="34"/>
      <c r="BA25" s="46"/>
      <c r="BB25" s="46"/>
      <c r="BC25" s="46"/>
      <c r="BD25" s="46"/>
      <c r="BE25" s="47"/>
      <c r="BF25" s="24"/>
      <c r="BG25" s="24"/>
      <c r="BH25" s="24"/>
      <c r="BI25" s="24"/>
      <c r="BJ25" s="24"/>
      <c r="BK25" s="24"/>
      <c r="BL25" s="24"/>
      <c r="BM25" s="24"/>
      <c r="BN25" s="24"/>
      <c r="BO25" s="24"/>
    </row>
    <row r="26" spans="1:67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75"/>
      <c r="R26" s="36"/>
      <c r="S26" s="36"/>
      <c r="T26" s="36"/>
      <c r="U26" s="36"/>
      <c r="V26" s="36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52"/>
      <c r="AJ26" s="24"/>
      <c r="AK26" s="24"/>
      <c r="AL26" s="24"/>
      <c r="AM26" s="24"/>
      <c r="AN26" s="24"/>
      <c r="AO26" s="24"/>
      <c r="AP26" s="24"/>
      <c r="AQ26" s="24"/>
      <c r="AR26" s="24"/>
      <c r="AS26" s="46"/>
      <c r="AT26" s="46"/>
      <c r="AU26" s="46"/>
      <c r="AV26" s="46"/>
      <c r="AW26" s="45"/>
      <c r="AX26" s="46"/>
      <c r="AY26" s="24"/>
      <c r="AZ26" s="34"/>
      <c r="BA26" s="46"/>
      <c r="BB26" s="46"/>
      <c r="BC26" s="46"/>
      <c r="BD26" s="46"/>
      <c r="BE26" s="47"/>
      <c r="BF26" s="24"/>
      <c r="BG26" s="24"/>
      <c r="BH26" s="24"/>
      <c r="BI26" s="24"/>
      <c r="BJ26" s="24"/>
      <c r="BK26" s="24"/>
      <c r="BL26" s="24"/>
      <c r="BM26" s="24"/>
      <c r="BN26" s="24"/>
      <c r="BO26" s="24"/>
    </row>
    <row r="27" spans="1:67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75"/>
      <c r="R27" s="36"/>
      <c r="S27" s="36"/>
      <c r="T27" s="36"/>
      <c r="U27" s="36"/>
      <c r="V27" s="36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52"/>
      <c r="AJ27" s="24"/>
      <c r="AK27" s="24"/>
      <c r="AL27" s="24"/>
      <c r="AM27" s="24"/>
      <c r="AN27" s="24"/>
      <c r="AO27" s="24"/>
      <c r="AP27" s="24"/>
      <c r="AQ27" s="24"/>
      <c r="AR27" s="24"/>
      <c r="AS27" s="46"/>
      <c r="AT27" s="46"/>
      <c r="AU27" s="46"/>
      <c r="AV27" s="46"/>
      <c r="AW27" s="45"/>
      <c r="AX27" s="46"/>
      <c r="AY27" s="24"/>
      <c r="AZ27" s="34"/>
      <c r="BA27" s="46"/>
      <c r="BB27" s="46"/>
      <c r="BC27" s="46"/>
      <c r="BD27" s="46"/>
      <c r="BE27" s="47"/>
      <c r="BF27" s="24"/>
      <c r="BG27" s="24"/>
      <c r="BH27" s="24"/>
      <c r="BI27" s="24"/>
      <c r="BJ27" s="24"/>
      <c r="BK27" s="24"/>
      <c r="BL27" s="24"/>
      <c r="BM27" s="24"/>
      <c r="BN27" s="24"/>
      <c r="BO27" s="24"/>
    </row>
    <row r="28" spans="1:67" ht="29.25" thickBot="1">
      <c r="A28" s="36"/>
      <c r="B28" s="36"/>
      <c r="C28" s="36"/>
      <c r="D28" s="36"/>
      <c r="E28" s="36"/>
      <c r="F28" s="36"/>
      <c r="G28" s="36"/>
      <c r="H28" s="36"/>
      <c r="I28" s="43"/>
      <c r="J28" s="36"/>
      <c r="K28" s="36"/>
      <c r="L28" s="36"/>
      <c r="M28" s="36"/>
      <c r="N28" s="36"/>
      <c r="O28" s="36"/>
      <c r="P28" s="36"/>
      <c r="Q28" s="75"/>
      <c r="R28" s="36"/>
      <c r="S28" s="36"/>
      <c r="T28" s="36"/>
      <c r="U28" s="36"/>
      <c r="V28" s="36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53"/>
      <c r="AI28" s="54"/>
      <c r="AJ28" s="53"/>
      <c r="AK28" s="24"/>
      <c r="AL28" s="24"/>
      <c r="AM28" s="24"/>
      <c r="AN28" s="24"/>
      <c r="AO28" s="24"/>
      <c r="AP28" s="24"/>
      <c r="AQ28" s="24"/>
      <c r="AR28" s="24"/>
      <c r="AS28" s="46"/>
      <c r="AT28" s="46"/>
      <c r="AU28" s="46"/>
      <c r="AV28" s="46"/>
      <c r="AW28" s="45"/>
      <c r="AX28" s="46"/>
      <c r="AY28" s="24"/>
      <c r="AZ28" s="34"/>
      <c r="BA28" s="46"/>
      <c r="BB28" s="46"/>
      <c r="BC28" s="46"/>
      <c r="BD28" s="46"/>
      <c r="BE28" s="47"/>
      <c r="BF28" s="24"/>
      <c r="BG28" s="24"/>
      <c r="BH28" s="24"/>
      <c r="BI28" s="24"/>
      <c r="BJ28" s="24"/>
      <c r="BK28" s="24"/>
      <c r="BL28" s="24"/>
      <c r="BM28" s="24"/>
      <c r="BN28" s="24"/>
      <c r="BO28" s="24"/>
    </row>
    <row r="29" spans="1:67" ht="29.25" thickBot="1">
      <c r="A29" s="36"/>
      <c r="B29" s="36"/>
      <c r="C29" s="36"/>
      <c r="D29" s="36"/>
      <c r="E29" s="36"/>
      <c r="F29" s="36"/>
      <c r="G29" s="36"/>
      <c r="H29" s="36"/>
      <c r="I29" s="44"/>
      <c r="J29" s="36"/>
      <c r="K29" s="36"/>
      <c r="L29" s="36"/>
      <c r="M29" s="36"/>
      <c r="N29" s="36"/>
      <c r="O29" s="36"/>
      <c r="P29" s="36"/>
      <c r="Q29" s="75"/>
      <c r="R29" s="36"/>
      <c r="S29" s="36"/>
      <c r="T29" s="36"/>
      <c r="U29" s="36"/>
      <c r="V29" s="36"/>
      <c r="W29" s="24"/>
      <c r="X29" s="24"/>
      <c r="Y29" s="24"/>
      <c r="Z29" s="24"/>
      <c r="AA29" s="24"/>
      <c r="AB29" s="24"/>
      <c r="AC29" s="24"/>
      <c r="AD29" s="24"/>
      <c r="AE29" s="24"/>
      <c r="AF29" s="115" t="s">
        <v>46</v>
      </c>
      <c r="AG29" s="116"/>
      <c r="AH29" s="58" t="s">
        <v>44</v>
      </c>
      <c r="AI29" s="59">
        <f>Calculations_MonitorArea!V14</f>
        <v>2349441.9531184561</v>
      </c>
      <c r="AJ29" s="53"/>
      <c r="AK29" s="24"/>
      <c r="AL29" s="24"/>
      <c r="AM29" s="24"/>
      <c r="AN29" s="24"/>
      <c r="AO29" s="24"/>
      <c r="AP29" s="24"/>
      <c r="AQ29" s="24"/>
      <c r="AR29" s="24"/>
      <c r="AS29" s="46"/>
      <c r="AT29" s="46"/>
      <c r="AU29" s="46"/>
      <c r="AV29" s="46"/>
      <c r="AW29" s="45"/>
      <c r="AX29" s="46"/>
      <c r="AY29" s="24"/>
      <c r="AZ29" s="34"/>
      <c r="BA29" s="46"/>
      <c r="BB29" s="46"/>
      <c r="BC29" s="46"/>
      <c r="BD29" s="46"/>
      <c r="BE29" s="47"/>
      <c r="BF29" s="24"/>
      <c r="BG29" s="24"/>
      <c r="BH29" s="24"/>
      <c r="BI29" s="24"/>
      <c r="BJ29" s="24"/>
      <c r="BK29" s="24"/>
      <c r="BL29" s="24"/>
      <c r="BM29" s="24"/>
      <c r="BN29" s="24"/>
      <c r="BO29" s="24"/>
    </row>
    <row r="30" spans="1:67" ht="24" customHeight="1">
      <c r="A30" s="36"/>
      <c r="B30" s="36"/>
      <c r="C30" s="36"/>
      <c r="D30" s="36"/>
      <c r="E30" s="36"/>
      <c r="F30" s="36"/>
      <c r="G30" s="36"/>
      <c r="H30" s="36"/>
      <c r="I30" s="44"/>
      <c r="J30" s="36"/>
      <c r="K30" s="36"/>
      <c r="L30" s="36"/>
      <c r="M30" s="36"/>
      <c r="N30" s="36"/>
      <c r="O30" s="36"/>
      <c r="P30" s="36"/>
      <c r="Q30" s="75"/>
      <c r="R30" s="36"/>
      <c r="S30" s="36"/>
      <c r="T30" s="36"/>
      <c r="U30" s="36"/>
      <c r="V30" s="36"/>
      <c r="W30" s="24"/>
      <c r="X30" s="24"/>
      <c r="Y30" s="24"/>
      <c r="Z30" s="24"/>
      <c r="AA30" s="24"/>
      <c r="AB30" s="24"/>
      <c r="AC30" s="24"/>
      <c r="AD30" s="24"/>
      <c r="AE30" s="24"/>
      <c r="AF30" s="56"/>
      <c r="AG30" s="56"/>
      <c r="AH30" s="57"/>
      <c r="AI30" s="57"/>
      <c r="AJ30" s="53"/>
      <c r="AK30" s="24"/>
      <c r="AL30" s="24"/>
      <c r="AM30" s="24"/>
      <c r="AN30" s="24"/>
      <c r="AO30" s="24"/>
      <c r="AP30" s="24"/>
      <c r="AQ30" s="24"/>
      <c r="AR30" s="24"/>
      <c r="AS30" s="46"/>
      <c r="AT30" s="46"/>
      <c r="AU30" s="46"/>
      <c r="AV30" s="46"/>
      <c r="AW30" s="45"/>
      <c r="AX30" s="46"/>
      <c r="AY30" s="24"/>
      <c r="AZ30" s="34"/>
      <c r="BA30" s="46"/>
      <c r="BB30" s="46"/>
      <c r="BC30" s="46"/>
      <c r="BD30" s="46"/>
      <c r="BE30" s="47"/>
      <c r="BF30" s="24"/>
      <c r="BG30" s="24"/>
      <c r="BH30" s="24"/>
      <c r="BI30" s="24"/>
      <c r="BJ30" s="24"/>
      <c r="BK30" s="24"/>
      <c r="BL30" s="24"/>
      <c r="BM30" s="24"/>
      <c r="BN30" s="24"/>
      <c r="BO30" s="24"/>
    </row>
    <row r="31" spans="1:67" ht="24" customHeight="1">
      <c r="A31" s="36"/>
      <c r="B31" s="36"/>
      <c r="C31" s="36"/>
      <c r="D31" s="36"/>
      <c r="E31" s="36"/>
      <c r="F31" s="36"/>
      <c r="G31" s="36"/>
      <c r="H31" s="36"/>
      <c r="I31" s="44"/>
      <c r="J31" s="36"/>
      <c r="K31" s="36"/>
      <c r="L31" s="36"/>
      <c r="M31" s="36"/>
      <c r="N31" s="36"/>
      <c r="O31" s="36"/>
      <c r="P31" s="36"/>
      <c r="Q31" s="75"/>
      <c r="R31" s="36"/>
      <c r="S31" s="36"/>
      <c r="T31" s="36"/>
      <c r="U31" s="36"/>
      <c r="V31" s="36"/>
      <c r="W31" s="24"/>
      <c r="X31" s="24"/>
      <c r="Y31" s="24"/>
      <c r="Z31" s="24"/>
      <c r="AA31" s="24"/>
      <c r="AB31" s="24"/>
      <c r="AC31" s="24"/>
      <c r="AD31" s="24"/>
      <c r="AE31" s="24"/>
      <c r="AF31" s="56"/>
      <c r="AG31" s="56"/>
      <c r="AH31" s="57"/>
      <c r="AI31" s="57"/>
      <c r="AJ31" s="53"/>
      <c r="AK31" s="24"/>
      <c r="AL31" s="24"/>
      <c r="AM31" s="24"/>
      <c r="AN31" s="24"/>
      <c r="AO31" s="24"/>
      <c r="AP31" s="24"/>
      <c r="AQ31" s="24"/>
      <c r="AR31" s="24"/>
      <c r="AS31" s="46"/>
      <c r="AT31" s="46"/>
      <c r="AU31" s="46"/>
      <c r="AV31" s="46"/>
      <c r="AW31" s="45"/>
      <c r="AX31" s="46"/>
      <c r="AY31" s="24"/>
      <c r="AZ31" s="34"/>
      <c r="BA31" s="46"/>
      <c r="BB31" s="46"/>
      <c r="BC31" s="46"/>
      <c r="BD31" s="46"/>
      <c r="BE31" s="47"/>
      <c r="BF31" s="24"/>
      <c r="BG31" s="24"/>
      <c r="BH31" s="24"/>
      <c r="BI31" s="24"/>
      <c r="BJ31" s="24"/>
      <c r="BK31" s="24"/>
      <c r="BL31" s="24"/>
      <c r="BM31" s="24"/>
      <c r="BN31" s="24"/>
      <c r="BO31" s="24"/>
    </row>
    <row r="32" spans="1:67" ht="24" customHeight="1" thickBot="1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75"/>
      <c r="R32" s="36"/>
      <c r="S32" s="36"/>
      <c r="T32" s="36"/>
      <c r="U32" s="36"/>
      <c r="V32" s="36"/>
      <c r="W32" s="24"/>
      <c r="X32" s="24"/>
      <c r="Y32" s="24"/>
      <c r="Z32" s="24"/>
      <c r="AA32" s="24"/>
      <c r="AB32" s="24"/>
      <c r="AC32" s="24"/>
      <c r="AD32" s="24"/>
      <c r="AE32" s="24"/>
      <c r="AF32" s="56"/>
      <c r="AG32" s="56"/>
      <c r="AH32" s="57"/>
      <c r="AI32" s="57"/>
      <c r="AJ32" s="53"/>
      <c r="AK32" s="24"/>
      <c r="AL32" s="24"/>
      <c r="AM32" s="24"/>
      <c r="AN32" s="24"/>
      <c r="AO32" s="24"/>
      <c r="AP32" s="24"/>
      <c r="AQ32" s="24"/>
      <c r="AR32" s="24"/>
      <c r="AS32" s="46"/>
      <c r="AT32" s="46"/>
      <c r="AU32" s="46"/>
      <c r="AV32" s="46"/>
      <c r="AW32" s="45"/>
      <c r="AX32" s="46"/>
      <c r="AY32" s="24"/>
      <c r="AZ32" s="34"/>
      <c r="BA32" s="46"/>
      <c r="BB32" s="46"/>
      <c r="BC32" s="46"/>
      <c r="BD32" s="46"/>
      <c r="BE32" s="47"/>
      <c r="BF32" s="24"/>
      <c r="BG32" s="24"/>
      <c r="BH32" s="24"/>
      <c r="BI32" s="24"/>
      <c r="BJ32" s="24"/>
      <c r="BK32" s="24"/>
      <c r="BL32" s="24"/>
      <c r="BM32" s="24"/>
      <c r="BN32" s="24"/>
      <c r="BO32" s="24"/>
    </row>
    <row r="33" spans="1:67" ht="29.25" thickBot="1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75"/>
      <c r="R33" s="36"/>
      <c r="S33" s="36"/>
      <c r="T33" s="36"/>
      <c r="U33" s="36"/>
      <c r="V33" s="36"/>
      <c r="W33" s="24"/>
      <c r="X33" s="24"/>
      <c r="Y33" s="24"/>
      <c r="Z33" s="24"/>
      <c r="AA33" s="24"/>
      <c r="AB33" s="24"/>
      <c r="AC33" s="24"/>
      <c r="AD33" s="24"/>
      <c r="AE33" s="24"/>
      <c r="AF33" s="115" t="s">
        <v>45</v>
      </c>
      <c r="AG33" s="116"/>
      <c r="AH33" s="58" t="s">
        <v>44</v>
      </c>
      <c r="AI33" s="55">
        <f>Calculations_MonitorArea!I17</f>
        <v>77</v>
      </c>
      <c r="AJ33" s="53"/>
      <c r="AK33" s="24"/>
      <c r="AL33" s="24"/>
      <c r="AM33" s="24"/>
      <c r="AN33" s="24"/>
      <c r="AO33" s="24"/>
      <c r="AP33" s="24"/>
      <c r="AQ33" s="24"/>
      <c r="AR33" s="24"/>
      <c r="AS33" s="46"/>
      <c r="AT33" s="46"/>
      <c r="AU33" s="46"/>
      <c r="AV33" s="46"/>
      <c r="AW33" s="45"/>
      <c r="AX33" s="46"/>
      <c r="AY33" s="24"/>
      <c r="AZ33" s="34"/>
      <c r="BA33" s="46"/>
      <c r="BB33" s="46"/>
      <c r="BC33" s="46"/>
      <c r="BD33" s="46"/>
      <c r="BE33" s="47"/>
      <c r="BF33" s="24"/>
      <c r="BG33" s="24"/>
      <c r="BH33" s="24"/>
      <c r="BI33" s="24"/>
      <c r="BJ33" s="24"/>
      <c r="BK33" s="24"/>
      <c r="BL33" s="24"/>
      <c r="BM33" s="24"/>
      <c r="BN33" s="24"/>
      <c r="BO33" s="24"/>
    </row>
    <row r="34" spans="1:67" ht="28.9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75"/>
      <c r="R34" s="36"/>
      <c r="S34" s="36"/>
      <c r="T34" s="36"/>
      <c r="U34" s="36"/>
      <c r="V34" s="36"/>
      <c r="W34" s="24"/>
      <c r="X34" s="24"/>
      <c r="Y34" s="24"/>
      <c r="Z34" s="24"/>
      <c r="AA34" s="24"/>
      <c r="AB34" s="24"/>
      <c r="AC34" s="24"/>
      <c r="AD34" s="24"/>
      <c r="AE34" s="24"/>
      <c r="AF34" s="52"/>
      <c r="AG34" s="52"/>
      <c r="AH34" s="54"/>
      <c r="AI34" s="54"/>
      <c r="AJ34" s="53"/>
      <c r="AK34" s="24"/>
      <c r="AL34" s="24"/>
      <c r="AM34" s="24"/>
      <c r="AN34" s="24"/>
      <c r="AO34" s="24"/>
      <c r="AP34" s="24"/>
      <c r="AQ34" s="24"/>
      <c r="AR34" s="24"/>
      <c r="AS34" s="46"/>
      <c r="AT34" s="46"/>
      <c r="AU34" s="46"/>
      <c r="AV34" s="46"/>
      <c r="AW34" s="45"/>
      <c r="AX34" s="46"/>
      <c r="AY34" s="24"/>
      <c r="AZ34" s="34"/>
      <c r="BA34" s="46"/>
      <c r="BB34" s="46"/>
      <c r="BC34" s="46"/>
      <c r="BD34" s="46"/>
      <c r="BE34" s="47"/>
      <c r="BF34" s="24"/>
      <c r="BG34" s="24"/>
      <c r="BH34" s="24"/>
      <c r="BI34" s="24"/>
      <c r="BJ34" s="24"/>
      <c r="BK34" s="24"/>
      <c r="BL34" s="24"/>
      <c r="BM34" s="24"/>
      <c r="BN34" s="24"/>
      <c r="BO34" s="24"/>
    </row>
    <row r="35" spans="1:67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75"/>
      <c r="R35" s="36"/>
      <c r="S35" s="36"/>
      <c r="T35" s="36"/>
      <c r="U35" s="36"/>
      <c r="V35" s="36"/>
      <c r="W35" s="24"/>
      <c r="X35" s="24"/>
      <c r="Y35" s="24"/>
      <c r="Z35" s="24"/>
      <c r="AA35" s="24"/>
      <c r="AB35" s="24"/>
      <c r="AC35" s="24"/>
      <c r="AD35" s="24"/>
      <c r="AE35" s="24"/>
      <c r="AF35" s="52"/>
      <c r="AG35" s="52"/>
      <c r="AH35" s="52"/>
      <c r="AI35" s="52"/>
      <c r="AJ35" s="24"/>
      <c r="AK35" s="24"/>
      <c r="AL35" s="24"/>
      <c r="AM35" s="24"/>
      <c r="AN35" s="24"/>
      <c r="AO35" s="24"/>
      <c r="AP35" s="24"/>
      <c r="AQ35" s="24"/>
      <c r="AR35" s="24"/>
      <c r="AS35" s="46"/>
      <c r="AT35" s="46"/>
      <c r="AU35" s="46"/>
      <c r="AV35" s="46"/>
      <c r="AW35" s="45"/>
      <c r="AX35" s="46"/>
      <c r="AY35" s="24"/>
      <c r="AZ35" s="34"/>
      <c r="BA35" s="46"/>
      <c r="BB35" s="46"/>
      <c r="BC35" s="46"/>
      <c r="BD35" s="46"/>
      <c r="BE35" s="47"/>
      <c r="BF35" s="24"/>
      <c r="BG35" s="24"/>
      <c r="BH35" s="24"/>
      <c r="BI35" s="24"/>
      <c r="BJ35" s="24"/>
      <c r="BK35" s="24"/>
      <c r="BL35" s="24"/>
      <c r="BM35" s="24"/>
      <c r="BN35" s="24"/>
      <c r="BO35" s="24"/>
    </row>
    <row r="36" spans="1:67">
      <c r="A36" s="24"/>
      <c r="B36" s="24" t="s">
        <v>35</v>
      </c>
      <c r="C36" s="24"/>
      <c r="D36" s="24"/>
      <c r="E36" s="24"/>
      <c r="F36" s="35"/>
      <c r="G36" s="35"/>
      <c r="H36" s="35"/>
      <c r="I36" s="35"/>
      <c r="J36" s="35"/>
      <c r="K36" s="35"/>
      <c r="L36" s="72"/>
      <c r="M36" s="36"/>
      <c r="N36" s="36"/>
      <c r="O36" s="36"/>
      <c r="P36" s="36"/>
      <c r="Q36" s="75"/>
      <c r="R36" s="36"/>
      <c r="S36" s="36"/>
      <c r="T36" s="36"/>
      <c r="U36" s="36"/>
      <c r="V36" s="36"/>
      <c r="W36" s="24"/>
      <c r="X36" s="24"/>
      <c r="Y36" s="24"/>
      <c r="Z36" s="24"/>
      <c r="AA36" s="24"/>
      <c r="AB36" s="24"/>
      <c r="AC36" s="24"/>
      <c r="AD36" s="24"/>
      <c r="AE36" s="24"/>
      <c r="AF36" s="52"/>
      <c r="AG36" s="52"/>
      <c r="AH36" s="52"/>
      <c r="AI36" s="52"/>
      <c r="AJ36" s="24"/>
      <c r="AK36" s="24"/>
      <c r="AL36" s="24"/>
      <c r="AM36" s="24"/>
      <c r="AN36" s="24"/>
      <c r="AO36" s="24"/>
      <c r="AP36" s="24"/>
      <c r="AQ36" s="24"/>
      <c r="AR36" s="24"/>
      <c r="AS36" s="46"/>
      <c r="AT36" s="46"/>
      <c r="AU36" s="46"/>
      <c r="AV36" s="46"/>
      <c r="AW36" s="45"/>
      <c r="AX36" s="46"/>
      <c r="AY36" s="24"/>
      <c r="AZ36" s="34"/>
      <c r="BA36" s="46"/>
      <c r="BB36" s="46"/>
      <c r="BC36" s="46"/>
      <c r="BD36" s="46"/>
      <c r="BE36" s="47"/>
      <c r="BF36" s="24"/>
      <c r="BG36" s="24"/>
      <c r="BH36" s="24"/>
      <c r="BI36" s="24"/>
      <c r="BJ36" s="24"/>
      <c r="BK36" s="24"/>
      <c r="BL36" s="24"/>
      <c r="BM36" s="24"/>
      <c r="BN36" s="24"/>
      <c r="BO36" s="24"/>
    </row>
    <row r="37" spans="1:67">
      <c r="A37" s="24"/>
      <c r="B37" s="24"/>
      <c r="C37" s="24"/>
      <c r="D37" s="24"/>
      <c r="E37" s="24"/>
      <c r="F37" s="28"/>
      <c r="G37" s="28"/>
      <c r="H37" s="28"/>
      <c r="I37" s="28"/>
      <c r="J37" s="28"/>
      <c r="K37" s="28"/>
      <c r="L37" s="73"/>
      <c r="M37" s="36"/>
      <c r="N37" s="36"/>
      <c r="O37" s="36"/>
      <c r="P37" s="36"/>
      <c r="Q37" s="75"/>
      <c r="R37" s="36"/>
      <c r="S37" s="36"/>
      <c r="T37" s="36"/>
      <c r="U37" s="36"/>
      <c r="V37" s="36"/>
      <c r="W37" s="24"/>
      <c r="X37" s="24"/>
      <c r="Y37" s="24"/>
      <c r="Z37" s="24"/>
      <c r="AA37" s="24"/>
      <c r="AB37" s="24"/>
      <c r="AC37" s="24"/>
      <c r="AD37" s="24"/>
      <c r="AE37" s="24"/>
      <c r="AF37" s="52"/>
      <c r="AG37" s="52"/>
      <c r="AH37" s="52"/>
      <c r="AI37" s="52"/>
      <c r="AJ37" s="24"/>
      <c r="AK37" s="24"/>
      <c r="AL37" s="24"/>
      <c r="AM37" s="24"/>
      <c r="AN37" s="24"/>
      <c r="AO37" s="24"/>
      <c r="AP37" s="24"/>
      <c r="AQ37" s="24"/>
      <c r="AR37" s="24"/>
      <c r="AS37" s="46"/>
      <c r="AT37" s="46"/>
      <c r="AU37" s="46"/>
      <c r="AV37" s="46"/>
      <c r="AW37" s="45"/>
      <c r="AX37" s="46"/>
      <c r="AY37" s="24"/>
      <c r="AZ37" s="34"/>
      <c r="BA37" s="46"/>
      <c r="BB37" s="46"/>
      <c r="BC37" s="46"/>
      <c r="BD37" s="46"/>
      <c r="BE37" s="47"/>
      <c r="BF37" s="24"/>
      <c r="BG37" s="24"/>
      <c r="BH37" s="24"/>
      <c r="BI37" s="24"/>
      <c r="BJ37" s="24"/>
      <c r="BK37" s="24"/>
      <c r="BL37" s="24"/>
      <c r="BM37" s="24"/>
      <c r="BN37" s="24"/>
      <c r="BO37" s="24"/>
    </row>
    <row r="38" spans="1:67">
      <c r="A38" s="24"/>
      <c r="B38" s="24"/>
      <c r="C38" s="24"/>
      <c r="D38" s="24"/>
      <c r="E38" s="24"/>
      <c r="F38" s="28"/>
      <c r="G38" s="28"/>
      <c r="H38" s="28"/>
      <c r="I38" s="28"/>
      <c r="J38" s="28"/>
      <c r="K38" s="28"/>
      <c r="L38" s="73"/>
      <c r="M38" s="36"/>
      <c r="N38" s="36"/>
      <c r="O38" s="36"/>
      <c r="P38" s="36"/>
      <c r="Q38" s="75"/>
      <c r="R38" s="36"/>
      <c r="S38" s="36"/>
      <c r="T38" s="36"/>
      <c r="U38" s="36"/>
      <c r="V38" s="36"/>
      <c r="W38" s="24"/>
      <c r="X38" s="24"/>
      <c r="Y38" s="24"/>
      <c r="Z38" s="24"/>
      <c r="AA38" s="24"/>
      <c r="AB38" s="24"/>
      <c r="AC38" s="24"/>
      <c r="AD38" s="24"/>
      <c r="AE38" s="24"/>
      <c r="AF38" s="52"/>
      <c r="AG38" s="52"/>
      <c r="AH38" s="52"/>
      <c r="AI38" s="52"/>
      <c r="AJ38" s="24"/>
      <c r="AK38" s="24"/>
      <c r="AL38" s="24"/>
      <c r="AM38" s="24"/>
      <c r="AN38" s="24"/>
      <c r="AO38" s="24"/>
      <c r="AP38" s="24"/>
      <c r="AQ38" s="24"/>
      <c r="AR38" s="24"/>
      <c r="AS38" s="46"/>
      <c r="AT38" s="46"/>
      <c r="AU38" s="46"/>
      <c r="AV38" s="46"/>
      <c r="AW38" s="45"/>
      <c r="AX38" s="46"/>
      <c r="AY38" s="24"/>
      <c r="AZ38" s="34"/>
      <c r="BA38" s="46"/>
      <c r="BB38" s="46"/>
      <c r="BC38" s="46"/>
      <c r="BD38" s="46"/>
      <c r="BE38" s="47"/>
      <c r="BF38" s="24"/>
      <c r="BG38" s="24"/>
      <c r="BH38" s="24"/>
      <c r="BI38" s="24"/>
      <c r="BJ38" s="24"/>
      <c r="BK38" s="24"/>
      <c r="BL38" s="24"/>
      <c r="BM38" s="24"/>
      <c r="BN38" s="24"/>
      <c r="BO38" s="24"/>
    </row>
    <row r="39" spans="1:67" ht="16.149999999999999" thickBot="1">
      <c r="A39" s="24"/>
      <c r="B39" s="24"/>
      <c r="C39" s="24"/>
      <c r="D39" s="24"/>
      <c r="E39" s="24"/>
      <c r="F39" s="28"/>
      <c r="G39" s="28"/>
      <c r="H39" s="28"/>
      <c r="I39" s="28"/>
      <c r="J39" s="28"/>
      <c r="K39" s="28"/>
      <c r="L39" s="73"/>
      <c r="M39" s="36"/>
      <c r="N39" s="36"/>
      <c r="O39" s="36"/>
      <c r="P39" s="36"/>
      <c r="Q39" s="75"/>
      <c r="R39" s="36"/>
      <c r="S39" s="36"/>
      <c r="T39" s="36"/>
      <c r="U39" s="36"/>
      <c r="V39" s="36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46"/>
      <c r="AT39" s="46"/>
      <c r="AU39" s="46"/>
      <c r="AV39" s="46"/>
      <c r="AW39" s="45"/>
      <c r="AX39" s="46"/>
      <c r="AY39" s="24"/>
      <c r="AZ39" s="34"/>
      <c r="BA39" s="46"/>
      <c r="BB39" s="46"/>
      <c r="BC39" s="46"/>
      <c r="BD39" s="46"/>
      <c r="BE39" s="47"/>
      <c r="BF39" s="24"/>
      <c r="BG39" s="24"/>
      <c r="BH39" s="24"/>
      <c r="BI39" s="24"/>
      <c r="BJ39" s="24"/>
      <c r="BK39" s="24"/>
      <c r="BL39" s="24"/>
      <c r="BM39" s="24"/>
      <c r="BN39" s="24"/>
      <c r="BO39" s="24"/>
    </row>
    <row r="40" spans="1:67" ht="16.149999999999999" customHeight="1" thickTop="1">
      <c r="A40" s="24"/>
      <c r="B40" s="24"/>
      <c r="C40" s="24"/>
      <c r="D40" s="24"/>
      <c r="E40" s="24"/>
      <c r="F40" s="28"/>
      <c r="G40" s="28"/>
      <c r="H40" s="28"/>
      <c r="I40" s="28"/>
      <c r="J40" s="28"/>
      <c r="K40" s="28"/>
      <c r="L40" s="73"/>
      <c r="M40" s="36"/>
      <c r="N40" s="36"/>
      <c r="O40" s="36"/>
      <c r="P40" s="36"/>
      <c r="Q40" s="75"/>
      <c r="R40" s="36"/>
      <c r="S40" s="36"/>
      <c r="T40" s="36"/>
      <c r="U40" s="36"/>
      <c r="V40" s="36"/>
      <c r="W40" s="24"/>
      <c r="X40" s="24"/>
      <c r="Y40" s="24"/>
      <c r="Z40" s="24"/>
      <c r="AA40" s="107" t="s">
        <v>43</v>
      </c>
      <c r="AB40" s="108"/>
      <c r="AC40" s="108"/>
      <c r="AD40" s="111">
        <f>Calculations_MonitorArea!U14</f>
        <v>2508678.7351060552</v>
      </c>
      <c r="AE40" s="112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46"/>
      <c r="AT40" s="46"/>
      <c r="AU40" s="46"/>
      <c r="AV40" s="46"/>
      <c r="AW40" s="45"/>
      <c r="AX40" s="46"/>
      <c r="AY40" s="24"/>
      <c r="AZ40" s="34"/>
      <c r="BA40" s="46"/>
      <c r="BB40" s="46"/>
      <c r="BC40" s="46"/>
      <c r="BD40" s="46"/>
      <c r="BE40" s="47"/>
      <c r="BF40" s="24"/>
      <c r="BG40" s="24"/>
      <c r="BH40" s="24"/>
      <c r="BI40" s="24"/>
      <c r="BJ40" s="24"/>
      <c r="BK40" s="24"/>
      <c r="BL40" s="24"/>
      <c r="BM40" s="24"/>
      <c r="BN40" s="24"/>
      <c r="BO40" s="24"/>
    </row>
    <row r="41" spans="1:67" ht="16.149999999999999" customHeight="1" thickBo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36"/>
      <c r="N41" s="36"/>
      <c r="O41" s="36"/>
      <c r="P41" s="36"/>
      <c r="Q41" s="76"/>
      <c r="R41" s="36"/>
      <c r="S41" s="36"/>
      <c r="T41" s="36"/>
      <c r="U41" s="36"/>
      <c r="V41" s="36"/>
      <c r="W41" s="24"/>
      <c r="X41" s="24"/>
      <c r="Y41" s="24"/>
      <c r="Z41" s="24"/>
      <c r="AA41" s="109"/>
      <c r="AB41" s="110"/>
      <c r="AC41" s="110"/>
      <c r="AD41" s="113"/>
      <c r="AE41" s="11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46"/>
      <c r="AT41" s="46"/>
      <c r="AU41" s="46"/>
      <c r="AV41" s="46"/>
      <c r="AW41" s="45"/>
      <c r="AX41" s="46"/>
      <c r="AY41" s="24"/>
      <c r="AZ41" s="34"/>
      <c r="BA41" s="46"/>
      <c r="BB41" s="46"/>
      <c r="BC41" s="46"/>
      <c r="BD41" s="46"/>
      <c r="BE41" s="47"/>
      <c r="BF41" s="24"/>
      <c r="BG41" s="24"/>
      <c r="BH41" s="24"/>
      <c r="BI41" s="24"/>
      <c r="BJ41" s="24"/>
      <c r="BK41" s="24"/>
      <c r="BL41" s="24"/>
      <c r="BM41" s="24"/>
      <c r="BN41" s="24"/>
      <c r="BO41" s="24"/>
    </row>
    <row r="42" spans="1:67" ht="16.149999999999999" thickTop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36"/>
      <c r="N42" s="36"/>
      <c r="O42" s="36"/>
      <c r="P42" s="36"/>
      <c r="Q42" s="76"/>
      <c r="R42" s="36"/>
      <c r="S42" s="36"/>
      <c r="T42" s="36"/>
      <c r="U42" s="36"/>
      <c r="V42" s="36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46"/>
      <c r="AT42" s="46"/>
      <c r="AU42" s="46"/>
      <c r="AV42" s="46"/>
      <c r="AW42" s="45"/>
      <c r="AX42" s="46"/>
      <c r="AY42" s="24"/>
      <c r="AZ42" s="34"/>
      <c r="BA42" s="46"/>
      <c r="BB42" s="46"/>
      <c r="BC42" s="46"/>
      <c r="BD42" s="46"/>
      <c r="BE42" s="47"/>
      <c r="BF42" s="24"/>
      <c r="BG42" s="24"/>
      <c r="BH42" s="24"/>
      <c r="BI42" s="24"/>
      <c r="BJ42" s="24"/>
      <c r="BK42" s="24"/>
      <c r="BL42" s="24"/>
      <c r="BM42" s="24"/>
      <c r="BN42" s="24"/>
      <c r="BO42" s="24"/>
    </row>
    <row r="43" spans="1:67" ht="16.149999999999999" thickBo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7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46"/>
      <c r="AT43" s="46"/>
      <c r="AU43" s="46"/>
      <c r="AV43" s="46"/>
      <c r="AW43" s="45"/>
      <c r="AX43" s="46"/>
      <c r="AY43" s="24"/>
      <c r="AZ43" s="34"/>
      <c r="BA43" s="46"/>
      <c r="BB43" s="46"/>
      <c r="BC43" s="46"/>
      <c r="BD43" s="46"/>
      <c r="BE43" s="47"/>
      <c r="BF43" s="24"/>
      <c r="BG43" s="24"/>
      <c r="BH43" s="24"/>
      <c r="BI43" s="24"/>
      <c r="BJ43" s="24"/>
      <c r="BK43" s="24"/>
      <c r="BL43" s="24"/>
      <c r="BM43" s="24"/>
      <c r="BN43" s="24"/>
      <c r="BO43" s="24"/>
    </row>
    <row r="44" spans="1:67" ht="25.5" thickBo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7"/>
      <c r="R44" s="24"/>
      <c r="S44" s="63">
        <f>Calculations_MonitorArea!M14</f>
        <v>67</v>
      </c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46"/>
      <c r="AT44" s="46"/>
      <c r="AU44" s="46"/>
      <c r="AV44" s="46"/>
      <c r="AW44" s="45"/>
      <c r="AX44" s="46"/>
      <c r="AY44" s="24"/>
      <c r="AZ44" s="34"/>
      <c r="BA44" s="46"/>
      <c r="BB44" s="46"/>
      <c r="BC44" s="46"/>
      <c r="BD44" s="46"/>
      <c r="BE44" s="47"/>
      <c r="BF44" s="24"/>
      <c r="BG44" s="24"/>
      <c r="BH44" s="24"/>
      <c r="BI44" s="24"/>
      <c r="BJ44" s="24"/>
      <c r="BK44" s="24"/>
      <c r="BL44" s="24"/>
      <c r="BM44" s="24"/>
      <c r="BN44" s="24"/>
      <c r="BO44" s="24"/>
    </row>
    <row r="45" spans="1:67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7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46"/>
      <c r="AT45" s="46"/>
      <c r="AU45" s="46"/>
      <c r="AV45" s="46"/>
      <c r="AW45" s="45"/>
      <c r="AX45" s="46"/>
      <c r="AY45" s="24"/>
      <c r="AZ45" s="34"/>
      <c r="BA45" s="46"/>
      <c r="BB45" s="46"/>
      <c r="BC45" s="46"/>
      <c r="BD45" s="46"/>
      <c r="BE45" s="47"/>
      <c r="BF45" s="24"/>
      <c r="BG45" s="24"/>
      <c r="BH45" s="24"/>
      <c r="BI45" s="24"/>
      <c r="BJ45" s="24"/>
      <c r="BK45" s="24"/>
      <c r="BL45" s="24"/>
      <c r="BM45" s="24"/>
      <c r="BN45" s="24"/>
      <c r="BO45" s="24"/>
    </row>
    <row r="46" spans="1:67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7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46"/>
      <c r="AT46" s="46"/>
      <c r="AU46" s="46"/>
      <c r="AV46" s="46"/>
      <c r="AW46" s="45"/>
      <c r="AX46" s="46"/>
      <c r="AY46" s="24"/>
      <c r="AZ46" s="34"/>
      <c r="BA46" s="46"/>
      <c r="BB46" s="46"/>
      <c r="BC46" s="46"/>
      <c r="BD46" s="46"/>
      <c r="BE46" s="47"/>
      <c r="BF46" s="24"/>
      <c r="BG46" s="24"/>
      <c r="BH46" s="24"/>
      <c r="BI46" s="24"/>
      <c r="BJ46" s="24"/>
      <c r="BK46" s="24"/>
      <c r="BL46" s="24"/>
      <c r="BM46" s="24"/>
      <c r="BN46" s="24"/>
      <c r="BO46" s="24"/>
    </row>
    <row r="47" spans="1:67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7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46"/>
      <c r="AT47" s="46"/>
      <c r="AU47" s="46"/>
      <c r="AV47" s="46"/>
      <c r="AW47" s="45"/>
      <c r="AX47" s="46"/>
      <c r="AY47" s="24"/>
      <c r="AZ47" s="34"/>
      <c r="BA47" s="46"/>
      <c r="BB47" s="46"/>
      <c r="BC47" s="46"/>
      <c r="BD47" s="46"/>
      <c r="BE47" s="47"/>
      <c r="BF47" s="24"/>
      <c r="BG47" s="24"/>
      <c r="BH47" s="24"/>
      <c r="BI47" s="24"/>
      <c r="BJ47" s="24"/>
      <c r="BK47" s="24"/>
      <c r="BL47" s="24"/>
      <c r="BM47" s="24"/>
      <c r="BN47" s="24"/>
      <c r="BO47" s="24"/>
    </row>
    <row r="48" spans="1:67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7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46"/>
      <c r="AT48" s="46"/>
      <c r="AU48" s="46"/>
      <c r="AV48" s="46"/>
      <c r="AW48" s="45"/>
      <c r="AX48" s="46"/>
      <c r="AY48" s="24"/>
      <c r="AZ48" s="34"/>
      <c r="BA48" s="46"/>
      <c r="BB48" s="46"/>
      <c r="BC48" s="46"/>
      <c r="BD48" s="46"/>
      <c r="BE48" s="47"/>
      <c r="BF48" s="24"/>
      <c r="BG48" s="24"/>
      <c r="BH48" s="24"/>
      <c r="BI48" s="24"/>
      <c r="BJ48" s="24"/>
      <c r="BK48" s="24"/>
      <c r="BL48" s="24"/>
      <c r="BM48" s="24"/>
      <c r="BN48" s="24"/>
      <c r="BO48" s="24"/>
    </row>
    <row r="49" spans="1:67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7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46"/>
      <c r="AT49" s="46"/>
      <c r="AU49" s="46"/>
      <c r="AV49" s="46"/>
      <c r="AW49" s="45"/>
      <c r="AX49" s="46"/>
      <c r="AY49" s="24"/>
      <c r="AZ49" s="34"/>
      <c r="BA49" s="46"/>
      <c r="BB49" s="46"/>
      <c r="BC49" s="46"/>
      <c r="BD49" s="46"/>
      <c r="BE49" s="47"/>
      <c r="BF49" s="24"/>
      <c r="BG49" s="24"/>
      <c r="BH49" s="24"/>
      <c r="BI49" s="24"/>
      <c r="BJ49" s="24"/>
      <c r="BK49" s="24"/>
      <c r="BL49" s="24"/>
      <c r="BM49" s="24"/>
      <c r="BN49" s="24"/>
      <c r="BO49" s="24"/>
    </row>
    <row r="50" spans="1:67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7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46"/>
      <c r="AT50" s="46"/>
      <c r="AU50" s="46"/>
      <c r="AV50" s="46"/>
      <c r="AW50" s="45"/>
      <c r="AX50" s="46"/>
      <c r="AY50" s="24"/>
      <c r="AZ50" s="34"/>
      <c r="BA50" s="46"/>
      <c r="BB50" s="46"/>
      <c r="BC50" s="46"/>
      <c r="BD50" s="46"/>
      <c r="BE50" s="47"/>
      <c r="BF50" s="24"/>
      <c r="BG50" s="24"/>
      <c r="BH50" s="24"/>
      <c r="BI50" s="24"/>
      <c r="BJ50" s="24"/>
      <c r="BK50" s="24"/>
      <c r="BL50" s="24"/>
      <c r="BM50" s="24"/>
      <c r="BN50" s="24"/>
      <c r="BO50" s="24"/>
    </row>
    <row r="51" spans="1:67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7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46"/>
      <c r="AT51" s="46"/>
      <c r="AU51" s="46"/>
      <c r="AV51" s="46"/>
      <c r="AW51" s="45"/>
      <c r="AX51" s="46"/>
      <c r="AY51" s="24"/>
      <c r="AZ51" s="34"/>
      <c r="BA51" s="46"/>
      <c r="BB51" s="46"/>
      <c r="BC51" s="46"/>
      <c r="BD51" s="46"/>
      <c r="BE51" s="47"/>
      <c r="BF51" s="24"/>
      <c r="BG51" s="24"/>
      <c r="BH51" s="24"/>
      <c r="BI51" s="24"/>
      <c r="BJ51" s="24"/>
      <c r="BK51" s="24"/>
      <c r="BL51" s="24"/>
      <c r="BM51" s="24"/>
      <c r="BN51" s="24"/>
      <c r="BO51" s="24"/>
    </row>
    <row r="52" spans="1:67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7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46"/>
      <c r="AT52" s="46"/>
      <c r="AU52" s="46"/>
      <c r="AV52" s="46"/>
      <c r="AW52" s="45"/>
      <c r="AX52" s="46"/>
      <c r="AY52" s="24"/>
      <c r="AZ52" s="34"/>
      <c r="BA52" s="46"/>
      <c r="BB52" s="46"/>
      <c r="BC52" s="46"/>
      <c r="BD52" s="46"/>
      <c r="BE52" s="47"/>
      <c r="BF52" s="24"/>
      <c r="BG52" s="24"/>
      <c r="BH52" s="24"/>
      <c r="BI52" s="24"/>
      <c r="BJ52" s="24"/>
      <c r="BK52" s="24"/>
      <c r="BL52" s="24"/>
      <c r="BM52" s="24"/>
      <c r="BN52" s="24"/>
      <c r="BO52" s="24"/>
    </row>
    <row r="53" spans="1:67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7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</row>
    <row r="54" spans="1:67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</row>
    <row r="55" spans="1:67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</row>
    <row r="56" spans="1:67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</row>
    <row r="57" spans="1:67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</row>
    <row r="58" spans="1:67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</row>
    <row r="59" spans="1:67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</row>
    <row r="60" spans="1:67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4"/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</row>
    <row r="61" spans="1:67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4"/>
      <c r="BB61" s="24"/>
      <c r="BC61" s="24"/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</row>
    <row r="62" spans="1:67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</row>
    <row r="63" spans="1:67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4"/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</row>
    <row r="64" spans="1:67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77"/>
      <c r="AL64" s="77"/>
      <c r="AM64" s="77"/>
      <c r="AN64" s="77"/>
      <c r="AO64" s="77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</row>
    <row r="65" spans="1:67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77"/>
      <c r="AL65" s="77"/>
      <c r="AM65" s="77"/>
      <c r="AN65" s="77"/>
      <c r="AO65" s="77"/>
      <c r="AP65" s="52"/>
      <c r="AQ65" s="24"/>
      <c r="AR65" s="24"/>
      <c r="AS65" s="24"/>
      <c r="AT65" s="24"/>
      <c r="AU65" s="24"/>
      <c r="AV65" s="24"/>
      <c r="AW65" s="24"/>
      <c r="AX65" s="24"/>
      <c r="AY65" s="24"/>
      <c r="AZ65" s="24"/>
      <c r="BA65" s="24"/>
      <c r="BB65" s="24"/>
      <c r="BC65" s="24"/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</row>
    <row r="66" spans="1:67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77"/>
      <c r="AL66" s="77"/>
      <c r="AM66" s="77"/>
      <c r="AN66" s="77"/>
      <c r="AO66" s="77"/>
      <c r="AP66" s="52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</row>
    <row r="67" spans="1:67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77"/>
      <c r="AL67" s="77"/>
      <c r="AM67" s="77"/>
      <c r="AN67" s="77"/>
      <c r="AO67" s="77"/>
      <c r="AP67" s="52"/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4"/>
      <c r="BJ67" s="24"/>
      <c r="BK67" s="24"/>
      <c r="BL67" s="24"/>
      <c r="BM67" s="24"/>
      <c r="BN67" s="24"/>
      <c r="BO67" s="24"/>
    </row>
    <row r="68" spans="1:67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77"/>
      <c r="AL68" s="77"/>
      <c r="AM68" s="77"/>
      <c r="AN68" s="77"/>
      <c r="AO68" s="77"/>
      <c r="AP68" s="52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</row>
    <row r="69" spans="1:67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77"/>
      <c r="AL69" s="77"/>
      <c r="AM69" s="77"/>
      <c r="AN69" s="77"/>
      <c r="AO69" s="77"/>
      <c r="AP69" s="52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/>
      <c r="BO69" s="24"/>
    </row>
    <row r="70" spans="1:67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77"/>
      <c r="AL70" s="77"/>
      <c r="AM70" s="77"/>
      <c r="AN70" s="77"/>
      <c r="AO70" s="77"/>
      <c r="AP70" s="52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</row>
    <row r="71" spans="1:67">
      <c r="A71" s="24"/>
      <c r="B71" s="24"/>
      <c r="C71" s="25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77"/>
      <c r="AL71" s="77"/>
      <c r="AM71" s="77"/>
      <c r="AN71" s="77"/>
      <c r="AO71" s="77"/>
      <c r="AP71" s="52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4"/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</row>
    <row r="72" spans="1:67">
      <c r="A72" s="24"/>
      <c r="B72" s="24"/>
      <c r="C72" s="26"/>
      <c r="D72" s="34"/>
      <c r="E72" s="34"/>
      <c r="F72" s="34"/>
      <c r="G72" s="3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77">
        <f>IF(AJ74="B",1,0)</f>
        <v>0</v>
      </c>
      <c r="AL72" s="77">
        <f>IF(AJ74="M",1,0)</f>
        <v>0</v>
      </c>
      <c r="AM72" s="77">
        <f>IF(AJ74="D",1,0)</f>
        <v>1</v>
      </c>
      <c r="AN72" s="77"/>
      <c r="AO72" s="77"/>
      <c r="AP72" s="52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4"/>
      <c r="BL72" s="24"/>
      <c r="BM72" s="24"/>
      <c r="BN72" s="24"/>
      <c r="BO72" s="24"/>
    </row>
    <row r="73" spans="1:67" ht="16.149999999999999" thickBot="1">
      <c r="A73" s="24"/>
      <c r="B73" s="24"/>
      <c r="C73" s="26"/>
      <c r="D73" s="34"/>
      <c r="E73" s="34"/>
      <c r="F73" s="34"/>
      <c r="G73" s="3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77"/>
      <c r="AL73" s="77"/>
      <c r="AM73" s="77"/>
      <c r="AN73" s="77"/>
      <c r="AO73" s="77"/>
      <c r="AP73" s="52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4"/>
      <c r="BL73" s="24"/>
      <c r="BM73" s="24"/>
      <c r="BN73" s="24"/>
      <c r="BO73" s="24"/>
    </row>
    <row r="74" spans="1:67" ht="16.149999999999999" thickBot="1">
      <c r="A74" s="24"/>
      <c r="B74" s="24"/>
      <c r="C74" s="26"/>
      <c r="D74" s="34"/>
      <c r="E74" s="34"/>
      <c r="F74" s="34"/>
      <c r="G74" s="3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52" t="str">
        <f>IF(AL74=1,"B",IF(AL74=2, "M", "D"))</f>
        <v>D</v>
      </c>
      <c r="AK74" s="77"/>
      <c r="AL74" s="78">
        <v>3</v>
      </c>
      <c r="AM74" s="77"/>
      <c r="AN74" s="77"/>
      <c r="AO74" s="77"/>
      <c r="AP74" s="52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</row>
    <row r="75" spans="1:67">
      <c r="A75" s="24"/>
      <c r="B75" s="24"/>
      <c r="C75" s="26"/>
      <c r="D75" s="34"/>
      <c r="E75" s="34"/>
      <c r="F75" s="34"/>
      <c r="G75" s="3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77"/>
      <c r="AL75" s="77"/>
      <c r="AM75" s="77"/>
      <c r="AN75" s="77"/>
      <c r="AO75" s="77"/>
      <c r="AP75" s="52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4"/>
      <c r="BL75" s="24"/>
      <c r="BM75" s="24"/>
      <c r="BN75" s="24"/>
      <c r="BO75" s="24"/>
    </row>
    <row r="76" spans="1:67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52"/>
      <c r="AL76" s="52"/>
      <c r="AM76" s="52"/>
      <c r="AN76" s="52"/>
      <c r="AO76" s="52"/>
      <c r="AP76" s="52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4"/>
      <c r="BL76" s="24"/>
      <c r="BM76" s="24"/>
      <c r="BN76" s="24"/>
      <c r="BO76" s="24"/>
    </row>
    <row r="77" spans="1:67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52"/>
      <c r="AL77" s="52"/>
      <c r="AM77" s="52"/>
      <c r="AN77" s="52"/>
      <c r="AO77" s="52"/>
      <c r="AP77" s="52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24"/>
    </row>
    <row r="78" spans="1:67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52"/>
      <c r="AL78" s="52"/>
      <c r="AM78" s="52"/>
      <c r="AN78" s="52"/>
      <c r="AO78" s="52"/>
      <c r="AP78" s="52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4"/>
      <c r="BL78" s="24"/>
      <c r="BM78" s="24"/>
      <c r="BN78" s="24"/>
      <c r="BO78" s="24"/>
    </row>
    <row r="79" spans="1:67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52"/>
      <c r="AL79" s="52"/>
      <c r="AM79" s="52"/>
      <c r="AN79" s="52"/>
      <c r="AO79" s="52"/>
      <c r="AP79" s="52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4"/>
      <c r="BD79" s="24"/>
      <c r="BE79" s="24"/>
      <c r="BF79" s="24"/>
      <c r="BG79" s="24"/>
      <c r="BH79" s="24"/>
      <c r="BI79" s="24"/>
      <c r="BJ79" s="24"/>
      <c r="BK79" s="24"/>
      <c r="BL79" s="24"/>
      <c r="BM79" s="24"/>
      <c r="BN79" s="24"/>
      <c r="BO79" s="24"/>
    </row>
    <row r="80" spans="1:67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52"/>
      <c r="AL80" s="52"/>
      <c r="AM80" s="52"/>
      <c r="AN80" s="52"/>
      <c r="AO80" s="52"/>
      <c r="AP80" s="52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</row>
    <row r="81" spans="1:67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</row>
    <row r="82" spans="1:67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24"/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24"/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</row>
    <row r="83" spans="1:67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24"/>
      <c r="AS83" s="24"/>
      <c r="AT83" s="24"/>
      <c r="AU83" s="24"/>
      <c r="AV83" s="24"/>
      <c r="AW83" s="24"/>
      <c r="AX83" s="24"/>
      <c r="AY83" s="24"/>
      <c r="AZ83" s="24"/>
      <c r="BA83" s="24"/>
      <c r="BB83" s="24"/>
      <c r="BC83" s="24"/>
      <c r="BD83" s="24"/>
      <c r="BE83" s="24"/>
      <c r="BF83" s="24"/>
      <c r="BG83" s="24"/>
      <c r="BH83" s="24"/>
      <c r="BI83" s="24"/>
      <c r="BJ83" s="24"/>
      <c r="BK83" s="24"/>
      <c r="BL83" s="24"/>
      <c r="BM83" s="24"/>
      <c r="BN83" s="24"/>
      <c r="BO83" s="24"/>
    </row>
    <row r="84" spans="1:67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24"/>
      <c r="BD84" s="24"/>
      <c r="BE84" s="24"/>
      <c r="BF84" s="24"/>
      <c r="BG84" s="24"/>
      <c r="BH84" s="24"/>
      <c r="BI84" s="24"/>
      <c r="BJ84" s="24"/>
      <c r="BK84" s="24"/>
      <c r="BL84" s="24"/>
      <c r="BM84" s="24"/>
      <c r="BN84" s="24"/>
      <c r="BO84" s="24"/>
    </row>
    <row r="85" spans="1:67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24"/>
      <c r="BD85" s="24"/>
      <c r="BE85" s="24"/>
      <c r="BF85" s="24"/>
      <c r="BG85" s="24"/>
      <c r="BH85" s="24"/>
      <c r="BI85" s="24"/>
      <c r="BJ85" s="24"/>
      <c r="BK85" s="24"/>
      <c r="BL85" s="24"/>
      <c r="BM85" s="24"/>
      <c r="BN85" s="24"/>
      <c r="BO85" s="24"/>
    </row>
    <row r="86" spans="1:67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24"/>
      <c r="AT86" s="24"/>
      <c r="AU86" s="24"/>
      <c r="AV86" s="24"/>
      <c r="AW86" s="24"/>
      <c r="AX86" s="24"/>
      <c r="AY86" s="24"/>
      <c r="AZ86" s="24"/>
      <c r="BA86" s="24"/>
      <c r="BB86" s="24"/>
      <c r="BC86" s="24"/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</row>
    <row r="87" spans="1:67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24"/>
      <c r="AS87" s="24"/>
      <c r="AT87" s="24"/>
      <c r="AU87" s="24"/>
      <c r="AV87" s="24"/>
      <c r="AW87" s="24"/>
      <c r="AX87" s="24"/>
      <c r="AY87" s="24"/>
      <c r="AZ87" s="24"/>
      <c r="BA87" s="24"/>
      <c r="BB87" s="24"/>
      <c r="BC87" s="24"/>
      <c r="BD87" s="24"/>
      <c r="BE87" s="24"/>
      <c r="BF87" s="24"/>
      <c r="BG87" s="24"/>
      <c r="BH87" s="24"/>
      <c r="BI87" s="24"/>
      <c r="BJ87" s="24"/>
      <c r="BK87" s="24"/>
      <c r="BL87" s="24"/>
      <c r="BM87" s="24"/>
      <c r="BN87" s="24"/>
      <c r="BO87" s="24"/>
    </row>
    <row r="88" spans="1:67" ht="15.75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</row>
    <row r="89" spans="1:67" ht="15.75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68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</row>
    <row r="90" spans="1:67" ht="15.75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68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4"/>
      <c r="AS90" s="24"/>
      <c r="AT90" s="24"/>
      <c r="AU90" s="24"/>
      <c r="AV90" s="24"/>
      <c r="AW90" s="24"/>
      <c r="AX90" s="24"/>
      <c r="AY90" s="24"/>
      <c r="AZ90" s="24"/>
      <c r="BA90" s="24"/>
      <c r="BB90" s="24"/>
      <c r="BC90" s="24"/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</row>
    <row r="91" spans="1:67" ht="39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69">
        <v>67</v>
      </c>
      <c r="S91" s="24"/>
      <c r="T91" s="24"/>
      <c r="U91" s="24"/>
      <c r="V91" s="24"/>
      <c r="W91" s="24"/>
      <c r="X91" s="24"/>
      <c r="Y91" s="24"/>
      <c r="Z91" s="70">
        <v>8</v>
      </c>
      <c r="AA91" s="24"/>
      <c r="AB91" s="24"/>
      <c r="AC91" s="24"/>
      <c r="AD91" s="24"/>
      <c r="AE91" s="24"/>
      <c r="AF91" s="24"/>
      <c r="AG91" s="24"/>
      <c r="AH91" s="79">
        <v>70</v>
      </c>
      <c r="AI91" s="24"/>
      <c r="AJ91" s="24"/>
      <c r="AK91" s="24"/>
      <c r="AL91" s="24"/>
      <c r="AM91" s="24"/>
      <c r="AN91" s="24"/>
      <c r="AO91" s="24"/>
      <c r="AP91" s="24"/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4"/>
      <c r="BB91" s="24"/>
      <c r="BC91" s="24"/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</row>
    <row r="92" spans="1:67" ht="15.75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68"/>
      <c r="S92" s="67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  <c r="AR92" s="24"/>
      <c r="AS92" s="24"/>
      <c r="AT92" s="24"/>
      <c r="AU92" s="24"/>
      <c r="AV92" s="24"/>
      <c r="AW92" s="24"/>
      <c r="AX92" s="24"/>
      <c r="AY92" s="24"/>
      <c r="AZ92" s="24"/>
      <c r="BA92" s="24"/>
      <c r="BB92" s="24"/>
      <c r="BC92" s="24"/>
      <c r="BD92" s="24"/>
      <c r="BE92" s="24"/>
      <c r="BF92" s="24"/>
      <c r="BG92" s="24"/>
      <c r="BH92" s="24"/>
      <c r="BI92" s="24"/>
      <c r="BJ92" s="24"/>
      <c r="BK92" s="24"/>
      <c r="BL92" s="24"/>
      <c r="BM92" s="24"/>
      <c r="BN92" s="24"/>
      <c r="BO92" s="24"/>
    </row>
    <row r="93" spans="1:67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67"/>
      <c r="R93" s="67"/>
      <c r="S93" s="67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24"/>
      <c r="AS93" s="24"/>
      <c r="AT93" s="24"/>
      <c r="AU93" s="24"/>
      <c r="AV93" s="24"/>
      <c r="AW93" s="24"/>
      <c r="AX93" s="24"/>
      <c r="AY93" s="24"/>
      <c r="AZ93" s="24"/>
      <c r="BA93" s="24"/>
      <c r="BB93" s="24"/>
      <c r="BC93" s="24"/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</row>
    <row r="94" spans="1:67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67"/>
      <c r="R94" s="67"/>
      <c r="S94" s="67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  <c r="AR94" s="24"/>
      <c r="AS94" s="24"/>
      <c r="AT94" s="24"/>
      <c r="AU94" s="24"/>
      <c r="AV94" s="24"/>
      <c r="AW94" s="24"/>
      <c r="AX94" s="24"/>
      <c r="AY94" s="24"/>
      <c r="AZ94" s="24"/>
      <c r="BA94" s="24"/>
      <c r="BB94" s="24"/>
      <c r="BC94" s="24"/>
      <c r="BD94" s="24"/>
      <c r="BE94" s="24"/>
      <c r="BF94" s="24"/>
      <c r="BG94" s="24"/>
      <c r="BH94" s="24"/>
      <c r="BI94" s="24"/>
      <c r="BJ94" s="24"/>
      <c r="BK94" s="24"/>
      <c r="BL94" s="24"/>
      <c r="BM94" s="24"/>
      <c r="BN94" s="24"/>
      <c r="BO94" s="24"/>
    </row>
    <row r="95" spans="1:67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67"/>
      <c r="R95" s="67"/>
      <c r="S95" s="67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24"/>
      <c r="AS95" s="24"/>
      <c r="AT95" s="24"/>
      <c r="AU95" s="24"/>
      <c r="AV95" s="24"/>
      <c r="AW95" s="24"/>
      <c r="AX95" s="24"/>
      <c r="AY95" s="24"/>
      <c r="AZ95" s="24"/>
      <c r="BA95" s="24"/>
      <c r="BB95" s="24"/>
      <c r="BC95" s="24"/>
      <c r="BD95" s="24"/>
      <c r="BE95" s="24"/>
      <c r="BF95" s="24"/>
      <c r="BG95" s="24"/>
      <c r="BH95" s="24"/>
      <c r="BI95" s="24"/>
      <c r="BJ95" s="24"/>
      <c r="BK95" s="24"/>
      <c r="BL95" s="24"/>
      <c r="BM95" s="24"/>
      <c r="BN95" s="24"/>
      <c r="BO95" s="24"/>
    </row>
    <row r="96" spans="1:67" ht="15.75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71"/>
      <c r="Q96" s="71"/>
      <c r="R96" s="71"/>
      <c r="S96" s="71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103" t="s">
        <v>52</v>
      </c>
      <c r="AG96" s="103"/>
      <c r="AH96" s="103"/>
      <c r="AI96" s="103"/>
      <c r="AJ96" s="24"/>
      <c r="AK96" s="24"/>
      <c r="AL96" s="24"/>
      <c r="AM96" s="24"/>
      <c r="AN96" s="24"/>
      <c r="AO96" s="24"/>
      <c r="AP96" s="24"/>
      <c r="AQ96" s="24"/>
      <c r="AR96" s="24"/>
      <c r="AS96" s="24"/>
      <c r="AT96" s="24"/>
      <c r="AU96" s="24"/>
      <c r="AV96" s="24"/>
      <c r="AW96" s="24"/>
      <c r="AX96" s="24"/>
      <c r="AY96" s="24"/>
      <c r="AZ96" s="24"/>
      <c r="BA96" s="24"/>
      <c r="BB96" s="24"/>
      <c r="BC96" s="24"/>
      <c r="BD96" s="24"/>
      <c r="BE96" s="24"/>
      <c r="BF96" s="24"/>
      <c r="BG96" s="24"/>
      <c r="BH96" s="24"/>
      <c r="BI96" s="24"/>
      <c r="BJ96" s="24"/>
      <c r="BK96" s="24"/>
      <c r="BL96" s="24"/>
      <c r="BM96" s="24"/>
      <c r="BN96" s="24"/>
      <c r="BO96" s="24"/>
    </row>
    <row r="97" spans="1:67" ht="15.75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71"/>
      <c r="Q97" s="71"/>
      <c r="R97" s="71"/>
      <c r="S97" s="71"/>
      <c r="T97" s="24"/>
      <c r="U97" s="24"/>
      <c r="V97" s="24"/>
      <c r="W97" s="24"/>
      <c r="X97" s="103" t="s">
        <v>51</v>
      </c>
      <c r="Y97" s="103"/>
      <c r="Z97" s="103"/>
      <c r="AA97" s="103"/>
      <c r="AB97" s="103"/>
      <c r="AC97" s="24"/>
      <c r="AD97" s="24"/>
      <c r="AE97" s="24"/>
      <c r="AF97" s="103"/>
      <c r="AG97" s="103"/>
      <c r="AH97" s="103"/>
      <c r="AI97" s="103"/>
      <c r="AJ97" s="24"/>
      <c r="AK97" s="24"/>
      <c r="AL97" s="24"/>
      <c r="AM97" s="24"/>
      <c r="AN97" s="24"/>
      <c r="AO97" s="24"/>
      <c r="AP97" s="24"/>
      <c r="AQ97" s="24"/>
      <c r="AR97" s="24"/>
      <c r="AS97" s="24"/>
      <c r="AT97" s="24"/>
      <c r="AU97" s="24"/>
      <c r="AV97" s="24"/>
      <c r="AW97" s="24"/>
      <c r="AX97" s="24"/>
      <c r="AY97" s="24"/>
      <c r="AZ97" s="24"/>
      <c r="BA97" s="24"/>
      <c r="BB97" s="24"/>
      <c r="BC97" s="24"/>
      <c r="BD97" s="24"/>
      <c r="BE97" s="24"/>
      <c r="BF97" s="24"/>
      <c r="BG97" s="24"/>
      <c r="BH97" s="24"/>
      <c r="BI97" s="24"/>
      <c r="BJ97" s="24"/>
      <c r="BK97" s="24"/>
      <c r="BL97" s="24"/>
      <c r="BM97" s="24"/>
      <c r="BN97" s="24"/>
      <c r="BO97" s="24"/>
    </row>
    <row r="98" spans="1:67" ht="15.75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103" t="s">
        <v>50</v>
      </c>
      <c r="Q98" s="103"/>
      <c r="R98" s="103"/>
      <c r="S98" s="103"/>
      <c r="T98" s="103"/>
      <c r="U98" s="24"/>
      <c r="V98" s="24"/>
      <c r="W98" s="24"/>
      <c r="X98" s="103"/>
      <c r="Y98" s="103"/>
      <c r="Z98" s="103"/>
      <c r="AA98" s="103"/>
      <c r="AB98" s="103"/>
      <c r="AC98" s="24"/>
      <c r="AD98" s="24"/>
      <c r="AE98" s="24"/>
      <c r="AF98" s="103"/>
      <c r="AG98" s="103"/>
      <c r="AH98" s="103"/>
      <c r="AI98" s="103"/>
      <c r="AJ98" s="24"/>
      <c r="AK98" s="24"/>
      <c r="AL98" s="24"/>
      <c r="AM98" s="24"/>
      <c r="AN98" s="24"/>
      <c r="AO98" s="24"/>
      <c r="AP98" s="24"/>
      <c r="AQ98" s="24"/>
      <c r="AR98" s="24"/>
      <c r="AS98" s="24"/>
      <c r="AT98" s="24"/>
      <c r="AU98" s="24"/>
      <c r="AV98" s="24"/>
      <c r="AW98" s="24"/>
      <c r="AX98" s="24"/>
      <c r="AY98" s="24"/>
      <c r="AZ98" s="24"/>
      <c r="BA98" s="24"/>
      <c r="BB98" s="24"/>
      <c r="BC98" s="24"/>
      <c r="BD98" s="24"/>
      <c r="BE98" s="24"/>
      <c r="BF98" s="24"/>
      <c r="BG98" s="24"/>
      <c r="BH98" s="24"/>
      <c r="BI98" s="24"/>
      <c r="BJ98" s="24"/>
      <c r="BK98" s="24"/>
      <c r="BL98" s="24"/>
      <c r="BM98" s="24"/>
      <c r="BN98" s="24"/>
      <c r="BO98" s="24"/>
    </row>
    <row r="99" spans="1:67" ht="15.75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103"/>
      <c r="Q99" s="103"/>
      <c r="R99" s="103"/>
      <c r="S99" s="103"/>
      <c r="T99" s="103"/>
      <c r="U99" s="24"/>
      <c r="V99" s="24"/>
      <c r="W99" s="24"/>
      <c r="X99" s="103"/>
      <c r="Y99" s="103"/>
      <c r="Z99" s="103"/>
      <c r="AA99" s="103"/>
      <c r="AB99" s="103"/>
      <c r="AC99" s="24"/>
      <c r="AD99" s="24"/>
      <c r="AE99" s="24"/>
      <c r="AF99" s="103"/>
      <c r="AG99" s="103"/>
      <c r="AH99" s="103"/>
      <c r="AI99" s="103"/>
      <c r="AJ99" s="24"/>
      <c r="AK99" s="24"/>
      <c r="AL99" s="24"/>
      <c r="AM99" s="24"/>
      <c r="AN99" s="24"/>
      <c r="AO99" s="24"/>
      <c r="AP99" s="24"/>
      <c r="AQ99" s="24"/>
      <c r="AR99" s="24"/>
      <c r="AS99" s="24"/>
      <c r="AT99" s="24"/>
      <c r="AU99" s="24"/>
      <c r="AV99" s="24"/>
      <c r="AW99" s="24"/>
      <c r="AX99" s="24"/>
      <c r="AY99" s="24"/>
      <c r="AZ99" s="24"/>
      <c r="BA99" s="24"/>
      <c r="BB99" s="24"/>
      <c r="BC99" s="24"/>
      <c r="BD99" s="24"/>
      <c r="BE99" s="24"/>
      <c r="BF99" s="24"/>
      <c r="BG99" s="24"/>
      <c r="BH99" s="24"/>
      <c r="BI99" s="24"/>
      <c r="BJ99" s="24"/>
      <c r="BK99" s="24"/>
      <c r="BL99" s="24"/>
      <c r="BM99" s="24"/>
      <c r="BN99" s="24"/>
      <c r="BO99" s="24"/>
    </row>
    <row r="100" spans="1:67" ht="15.75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103"/>
      <c r="Q100" s="103"/>
      <c r="R100" s="103"/>
      <c r="S100" s="103"/>
      <c r="T100" s="103"/>
      <c r="U100" s="24"/>
      <c r="V100" s="24"/>
      <c r="W100" s="24"/>
      <c r="X100" s="103"/>
      <c r="Y100" s="103"/>
      <c r="Z100" s="103"/>
      <c r="AA100" s="103"/>
      <c r="AB100" s="103"/>
      <c r="AC100" s="24"/>
      <c r="AD100" s="24"/>
      <c r="AE100" s="24"/>
      <c r="AF100" s="103"/>
      <c r="AG100" s="103"/>
      <c r="AH100" s="103"/>
      <c r="AI100" s="103"/>
      <c r="AJ100" s="24"/>
      <c r="AK100" s="24"/>
      <c r="AL100" s="24"/>
      <c r="AM100" s="24"/>
      <c r="AN100" s="24"/>
      <c r="AO100" s="24"/>
      <c r="AP100" s="24"/>
      <c r="AQ100" s="24"/>
      <c r="AR100" s="24"/>
      <c r="AS100" s="24"/>
      <c r="AT100" s="24"/>
      <c r="AU100" s="24"/>
      <c r="AV100" s="24"/>
      <c r="AW100" s="24"/>
      <c r="AX100" s="24"/>
      <c r="AY100" s="24"/>
      <c r="AZ100" s="24"/>
      <c r="BA100" s="24"/>
      <c r="BB100" s="24"/>
      <c r="BC100" s="24"/>
      <c r="BD100" s="24"/>
      <c r="BE100" s="24"/>
      <c r="BF100" s="24"/>
      <c r="BG100" s="24"/>
      <c r="BH100" s="24"/>
      <c r="BI100" s="24"/>
      <c r="BJ100" s="24"/>
      <c r="BK100" s="24"/>
      <c r="BL100" s="24"/>
      <c r="BM100" s="24"/>
      <c r="BN100" s="24"/>
      <c r="BO100" s="24"/>
    </row>
    <row r="101" spans="1:67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67"/>
      <c r="R101" s="24"/>
      <c r="S101" s="67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24"/>
      <c r="AS101" s="24"/>
      <c r="AT101" s="24"/>
      <c r="AU101" s="24"/>
      <c r="AV101" s="24"/>
      <c r="AW101" s="24"/>
      <c r="AX101" s="24"/>
      <c r="AY101" s="24"/>
      <c r="AZ101" s="24"/>
      <c r="BA101" s="24"/>
      <c r="BB101" s="24"/>
      <c r="BC101" s="24"/>
      <c r="BD101" s="24"/>
      <c r="BE101" s="24"/>
      <c r="BF101" s="24"/>
      <c r="BG101" s="24"/>
      <c r="BH101" s="24"/>
      <c r="BI101" s="24"/>
      <c r="BJ101" s="24"/>
      <c r="BK101" s="24"/>
      <c r="BL101" s="24"/>
      <c r="BM101" s="24"/>
      <c r="BN101" s="24"/>
      <c r="BO101" s="24"/>
    </row>
    <row r="102" spans="1:67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  <c r="AS102" s="24"/>
      <c r="AT102" s="24"/>
      <c r="AU102" s="24"/>
      <c r="AV102" s="24"/>
      <c r="AW102" s="24"/>
      <c r="AX102" s="24"/>
      <c r="AY102" s="24"/>
      <c r="AZ102" s="24"/>
      <c r="BA102" s="24"/>
      <c r="BB102" s="24"/>
      <c r="BC102" s="24"/>
      <c r="BD102" s="24"/>
      <c r="BE102" s="24"/>
      <c r="BF102" s="24"/>
      <c r="BG102" s="24"/>
      <c r="BH102" s="24"/>
      <c r="BI102" s="24"/>
      <c r="BJ102" s="24"/>
      <c r="BK102" s="24"/>
      <c r="BL102" s="24"/>
      <c r="BM102" s="24"/>
      <c r="BN102" s="24"/>
      <c r="BO102" s="24"/>
    </row>
    <row r="103" spans="1:67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  <c r="BC103" s="24"/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4"/>
    </row>
    <row r="104" spans="1:67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  <c r="AR104" s="24"/>
      <c r="AS104" s="24"/>
      <c r="AT104" s="24"/>
      <c r="AU104" s="24"/>
      <c r="AV104" s="24"/>
      <c r="AW104" s="24"/>
      <c r="AX104" s="24"/>
      <c r="AY104" s="24"/>
      <c r="AZ104" s="24"/>
      <c r="BA104" s="24"/>
      <c r="BB104" s="24"/>
      <c r="BC104" s="24"/>
      <c r="BD104" s="24"/>
      <c r="BE104" s="24"/>
      <c r="BF104" s="24"/>
      <c r="BG104" s="24"/>
      <c r="BH104" s="24"/>
      <c r="BI104" s="24"/>
      <c r="BJ104" s="24"/>
      <c r="BK104" s="24"/>
      <c r="BL104" s="24"/>
      <c r="BM104" s="24"/>
      <c r="BN104" s="24"/>
      <c r="BO104" s="24"/>
    </row>
    <row r="105" spans="1:67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  <c r="AR105" s="24"/>
      <c r="AS105" s="24"/>
      <c r="AT105" s="24"/>
      <c r="AU105" s="24"/>
      <c r="AV105" s="24"/>
      <c r="AW105" s="24"/>
      <c r="AX105" s="24"/>
      <c r="AY105" s="24"/>
      <c r="AZ105" s="24"/>
      <c r="BA105" s="24"/>
      <c r="BB105" s="24"/>
      <c r="BC105" s="24"/>
      <c r="BD105" s="24"/>
      <c r="BE105" s="24"/>
      <c r="BF105" s="24"/>
      <c r="BG105" s="24"/>
      <c r="BH105" s="24"/>
      <c r="BI105" s="24"/>
      <c r="BJ105" s="24"/>
      <c r="BK105" s="24"/>
      <c r="BL105" s="24"/>
      <c r="BM105" s="24"/>
      <c r="BN105" s="24"/>
      <c r="BO105" s="24"/>
    </row>
    <row r="106" spans="1:67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  <c r="AR106" s="24"/>
      <c r="AS106" s="24"/>
      <c r="AT106" s="24"/>
      <c r="AU106" s="24"/>
      <c r="AV106" s="24"/>
      <c r="AW106" s="24"/>
      <c r="AX106" s="24"/>
      <c r="AY106" s="24"/>
      <c r="AZ106" s="24"/>
      <c r="BA106" s="24"/>
      <c r="BB106" s="24"/>
      <c r="BC106" s="24"/>
      <c r="BD106" s="24"/>
      <c r="BE106" s="24"/>
      <c r="BF106" s="24"/>
      <c r="BG106" s="24"/>
      <c r="BH106" s="24"/>
      <c r="BI106" s="24"/>
      <c r="BJ106" s="24"/>
      <c r="BK106" s="24"/>
      <c r="BL106" s="24"/>
      <c r="BM106" s="24"/>
      <c r="BN106" s="24"/>
      <c r="BO106" s="24"/>
    </row>
    <row r="107" spans="1:67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24"/>
      <c r="AS107" s="24"/>
      <c r="AT107" s="24"/>
      <c r="AU107" s="24"/>
      <c r="AV107" s="24"/>
      <c r="AW107" s="24"/>
      <c r="AX107" s="24"/>
      <c r="AY107" s="24"/>
      <c r="AZ107" s="24"/>
      <c r="BA107" s="24"/>
      <c r="BB107" s="24"/>
      <c r="BC107" s="24"/>
      <c r="BD107" s="24"/>
      <c r="BE107" s="24"/>
      <c r="BF107" s="24"/>
      <c r="BG107" s="24"/>
      <c r="BH107" s="24"/>
      <c r="BI107" s="24"/>
      <c r="BJ107" s="24"/>
      <c r="BK107" s="24"/>
      <c r="BL107" s="24"/>
      <c r="BM107" s="24"/>
      <c r="BN107" s="24"/>
      <c r="BO107" s="24"/>
    </row>
    <row r="108" spans="1:67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  <c r="AR108" s="24"/>
      <c r="AS108" s="24"/>
      <c r="AT108" s="24"/>
      <c r="AU108" s="24"/>
      <c r="AV108" s="24"/>
      <c r="AW108" s="24"/>
      <c r="AX108" s="24"/>
      <c r="AY108" s="24"/>
      <c r="AZ108" s="24"/>
      <c r="BA108" s="24"/>
      <c r="BB108" s="24"/>
      <c r="BC108" s="24"/>
      <c r="BD108" s="24"/>
      <c r="BE108" s="24"/>
      <c r="BF108" s="24"/>
      <c r="BG108" s="24"/>
      <c r="BH108" s="24"/>
      <c r="BI108" s="24"/>
      <c r="BJ108" s="24"/>
      <c r="BK108" s="24"/>
      <c r="BL108" s="24"/>
      <c r="BM108" s="24"/>
      <c r="BN108" s="24"/>
      <c r="BO108" s="24"/>
    </row>
    <row r="109" spans="1:67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24"/>
      <c r="AS109" s="24"/>
      <c r="AT109" s="24"/>
      <c r="AU109" s="24"/>
      <c r="AV109" s="24"/>
      <c r="AW109" s="24"/>
      <c r="AX109" s="24"/>
      <c r="AY109" s="24"/>
      <c r="AZ109" s="24"/>
      <c r="BA109" s="24"/>
      <c r="BB109" s="24"/>
      <c r="BC109" s="24"/>
      <c r="BD109" s="24"/>
      <c r="BE109" s="24"/>
      <c r="BF109" s="24"/>
      <c r="BG109" s="24"/>
      <c r="BH109" s="24"/>
      <c r="BI109" s="24"/>
      <c r="BJ109" s="24"/>
      <c r="BK109" s="24"/>
      <c r="BL109" s="24"/>
      <c r="BM109" s="24"/>
      <c r="BN109" s="24"/>
      <c r="BO109" s="24"/>
    </row>
    <row r="110" spans="1:67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24"/>
      <c r="AS110" s="24"/>
      <c r="AT110" s="24"/>
      <c r="AU110" s="24"/>
      <c r="AV110" s="24"/>
      <c r="AW110" s="24"/>
      <c r="AX110" s="24"/>
      <c r="AY110" s="24"/>
      <c r="AZ110" s="24"/>
      <c r="BA110" s="24"/>
      <c r="BB110" s="24"/>
      <c r="BC110" s="24"/>
      <c r="BD110" s="24"/>
      <c r="BE110" s="24"/>
      <c r="BF110" s="24"/>
      <c r="BG110" s="24"/>
      <c r="BH110" s="24"/>
      <c r="BI110" s="24"/>
      <c r="BJ110" s="24"/>
      <c r="BK110" s="24"/>
      <c r="BL110" s="24"/>
      <c r="BM110" s="24"/>
      <c r="BN110" s="24"/>
      <c r="BO110" s="24"/>
    </row>
    <row r="111" spans="1:67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24"/>
      <c r="AS111" s="24"/>
      <c r="AT111" s="24"/>
      <c r="AU111" s="24"/>
      <c r="AV111" s="24"/>
      <c r="AW111" s="24"/>
      <c r="AX111" s="24"/>
      <c r="AY111" s="24"/>
      <c r="AZ111" s="24"/>
      <c r="BA111" s="24"/>
      <c r="BB111" s="24"/>
      <c r="BC111" s="24"/>
      <c r="BD111" s="24"/>
      <c r="BE111" s="24"/>
      <c r="BF111" s="24"/>
      <c r="BG111" s="24"/>
      <c r="BH111" s="24"/>
      <c r="BI111" s="24"/>
      <c r="BJ111" s="24"/>
      <c r="BK111" s="24"/>
      <c r="BL111" s="24"/>
      <c r="BM111" s="24"/>
      <c r="BN111" s="24"/>
      <c r="BO111" s="24"/>
    </row>
    <row r="112" spans="1:67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24"/>
      <c r="AS112" s="24"/>
      <c r="AT112" s="24"/>
      <c r="AU112" s="24"/>
      <c r="AV112" s="24"/>
      <c r="AW112" s="24"/>
      <c r="AX112" s="24"/>
      <c r="AY112" s="24"/>
      <c r="AZ112" s="24"/>
      <c r="BA112" s="24"/>
      <c r="BB112" s="24"/>
      <c r="BC112" s="24"/>
      <c r="BD112" s="24"/>
      <c r="BE112" s="24"/>
      <c r="BF112" s="24"/>
      <c r="BG112" s="24"/>
      <c r="BH112" s="24"/>
      <c r="BI112" s="24"/>
      <c r="BJ112" s="24"/>
      <c r="BK112" s="24"/>
      <c r="BL112" s="24"/>
      <c r="BM112" s="24"/>
      <c r="BN112" s="24"/>
      <c r="BO112" s="24"/>
    </row>
    <row r="113" spans="1:67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24"/>
      <c r="AS113" s="24"/>
      <c r="AT113" s="24"/>
      <c r="AU113" s="24"/>
      <c r="AV113" s="24"/>
      <c r="AW113" s="24"/>
      <c r="AX113" s="24"/>
      <c r="AY113" s="24"/>
      <c r="AZ113" s="24"/>
      <c r="BA113" s="24"/>
      <c r="BB113" s="24"/>
      <c r="BC113" s="24"/>
      <c r="BD113" s="24"/>
      <c r="BE113" s="24"/>
      <c r="BF113" s="24"/>
      <c r="BG113" s="24"/>
      <c r="BH113" s="24"/>
      <c r="BI113" s="24"/>
      <c r="BJ113" s="24"/>
      <c r="BK113" s="24"/>
      <c r="BL113" s="24"/>
      <c r="BM113" s="24"/>
      <c r="BN113" s="24"/>
      <c r="BO113" s="24"/>
    </row>
    <row r="114" spans="1:67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  <c r="AR114" s="24"/>
      <c r="AS114" s="24"/>
      <c r="AT114" s="24"/>
      <c r="AU114" s="24"/>
      <c r="AV114" s="24"/>
      <c r="AW114" s="24"/>
      <c r="AX114" s="24"/>
      <c r="AY114" s="24"/>
      <c r="AZ114" s="24"/>
      <c r="BA114" s="24"/>
      <c r="BB114" s="24"/>
      <c r="BC114" s="24"/>
      <c r="BD114" s="24"/>
      <c r="BE114" s="24"/>
      <c r="BF114" s="24"/>
      <c r="BG114" s="24"/>
      <c r="BH114" s="24"/>
      <c r="BI114" s="24"/>
      <c r="BJ114" s="24"/>
      <c r="BK114" s="24"/>
      <c r="BL114" s="24"/>
      <c r="BM114" s="24"/>
      <c r="BN114" s="24"/>
      <c r="BO114" s="24"/>
    </row>
    <row r="115" spans="1:67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  <c r="AR115" s="24"/>
      <c r="AS115" s="24"/>
      <c r="AT115" s="24"/>
      <c r="AU115" s="24"/>
      <c r="AV115" s="24"/>
      <c r="AW115" s="24"/>
      <c r="AX115" s="24"/>
      <c r="AY115" s="24"/>
      <c r="AZ115" s="24"/>
      <c r="BA115" s="24"/>
      <c r="BB115" s="24"/>
      <c r="BC115" s="24"/>
      <c r="BD115" s="24"/>
      <c r="BE115" s="24"/>
      <c r="BF115" s="24"/>
      <c r="BG115" s="24"/>
      <c r="BH115" s="24"/>
      <c r="BI115" s="24"/>
      <c r="BJ115" s="24"/>
      <c r="BK115" s="24"/>
      <c r="BL115" s="24"/>
      <c r="BM115" s="24"/>
      <c r="BN115" s="24"/>
      <c r="BO115" s="24"/>
    </row>
  </sheetData>
  <mergeCells count="8">
    <mergeCell ref="X97:AB100"/>
    <mergeCell ref="AF96:AI100"/>
    <mergeCell ref="P98:T100"/>
    <mergeCell ref="AI18:AI23"/>
    <mergeCell ref="AA40:AC41"/>
    <mergeCell ref="AD40:AE41"/>
    <mergeCell ref="AF29:AG29"/>
    <mergeCell ref="AF33:AG33"/>
  </mergeCells>
  <conditionalFormatting sqref="O16:AH72">
    <cfRule type="expression" dxfId="14" priority="11">
      <formula>$AM$72</formula>
    </cfRule>
    <cfRule type="expression" dxfId="13" priority="12">
      <formula>$AL$72</formula>
    </cfRule>
    <cfRule type="expression" dxfId="12" priority="13">
      <formula>$AK$72</formula>
    </cfRule>
  </conditionalFormatting>
  <conditionalFormatting sqref="AI16:AJ17">
    <cfRule type="expression" dxfId="11" priority="8">
      <formula>$AM$72</formula>
    </cfRule>
    <cfRule type="expression" dxfId="10" priority="9">
      <formula>$AL$72</formula>
    </cfRule>
    <cfRule type="expression" dxfId="9" priority="10">
      <formula>$AK$72</formula>
    </cfRule>
  </conditionalFormatting>
  <conditionalFormatting sqref="AJ18:AJ72">
    <cfRule type="expression" dxfId="8" priority="5">
      <formula>$AM$72</formula>
    </cfRule>
    <cfRule type="expression" dxfId="7" priority="6">
      <formula>$AL$72</formula>
    </cfRule>
    <cfRule type="expression" dxfId="6" priority="7">
      <formula>$AK$72</formula>
    </cfRule>
  </conditionalFormatting>
  <conditionalFormatting sqref="AI24:AI72">
    <cfRule type="expression" dxfId="5" priority="1">
      <formula>$AM$72</formula>
    </cfRule>
    <cfRule type="expression" dxfId="4" priority="2">
      <formula>$AL$72</formula>
    </cfRule>
    <cfRule type="expression" dxfId="3" priority="4">
      <formula>$AK$72</formula>
    </cfRule>
  </conditionalFormatting>
  <dataValidations count="2">
    <dataValidation type="list" allowBlank="1" showInputMessage="1" showErrorMessage="1" sqref="AJ74" xr:uid="{E2C1626D-CBBE-4F04-A006-11E2EF223960}">
      <formula1>"B,M,D"</formula1>
    </dataValidation>
    <dataValidation type="list" allowBlank="1" showInputMessage="1" showErrorMessage="1" sqref="AL74" xr:uid="{3665C1CC-4CBD-4CA4-B8C2-4690E385F53B}">
      <formula1>"1,2,3"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Scroll Bar 7">
              <controlPr defaultSize="0" autoPict="0">
                <anchor moveWithCells="1">
                  <from>
                    <xdr:col>16</xdr:col>
                    <xdr:colOff>0</xdr:colOff>
                    <xdr:row>91</xdr:row>
                    <xdr:rowOff>166688</xdr:rowOff>
                  </from>
                  <to>
                    <xdr:col>18</xdr:col>
                    <xdr:colOff>771525</xdr:colOff>
                    <xdr:row>95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Scroll Bar 11">
              <controlPr defaultSize="0" autoPict="0">
                <anchor moveWithCells="1">
                  <from>
                    <xdr:col>32</xdr:col>
                    <xdr:colOff>80963</xdr:colOff>
                    <xdr:row>91</xdr:row>
                    <xdr:rowOff>166688</xdr:rowOff>
                  </from>
                  <to>
                    <xdr:col>34</xdr:col>
                    <xdr:colOff>652463</xdr:colOff>
                    <xdr:row>96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Scroll Bar 13">
              <controlPr defaultSize="0" autoPict="0">
                <anchor moveWithCells="1">
                  <from>
                    <xdr:col>23</xdr:col>
                    <xdr:colOff>828675</xdr:colOff>
                    <xdr:row>91</xdr:row>
                    <xdr:rowOff>195263</xdr:rowOff>
                  </from>
                  <to>
                    <xdr:col>26</xdr:col>
                    <xdr:colOff>781050</xdr:colOff>
                    <xdr:row>96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7" name="Spinner 29">
              <controlPr defaultSize="0" autoPict="0">
                <anchor moveWithCells="1" sizeWithCells="1">
                  <from>
                    <xdr:col>34</xdr:col>
                    <xdr:colOff>1362075</xdr:colOff>
                    <xdr:row>73</xdr:row>
                    <xdr:rowOff>42863</xdr:rowOff>
                  </from>
                  <to>
                    <xdr:col>35</xdr:col>
                    <xdr:colOff>609600</xdr:colOff>
                    <xdr:row>77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2FE9ED20-6361-4163-833E-71652E028B5E}">
            <xm:f>NOT(ISERROR(SEARCH(Calculations_MonitorArea!$W$6,AI18)))</xm:f>
            <xm:f>Calculations_MonitorArea!$W$6</xm:f>
            <x14:dxf>
              <fill>
                <patternFill>
                  <bgColor rgb="FFFFC000"/>
                </patternFill>
              </fill>
            </x14:dxf>
          </x14:cfRule>
          <x14:cfRule type="containsText" priority="19" operator="containsText" id="{7C285E21-4370-4B40-BD68-AE540E6DBA86}">
            <xm:f>NOT(ISERROR(SEARCH(Calculations_MonitorArea!$W$5,AI18)))</xm:f>
            <xm:f>Calculations_MonitorArea!$W$5</xm:f>
            <x14:dxf>
              <fill>
                <patternFill>
                  <bgColor rgb="FFC00000"/>
                </patternFill>
              </fill>
            </x14:dxf>
          </x14:cfRule>
          <xm:sqref>AI18</xm:sqref>
        </x14:conditionalFormatting>
        <x14:conditionalFormatting xmlns:xm="http://schemas.microsoft.com/office/excel/2006/main">
          <x14:cfRule type="containsText" priority="17" operator="containsText" id="{328F2ECB-81D0-44F6-A619-3F0EAA04451D}">
            <xm:f>NOT(ISERROR(SEARCH(Calculations_MonitorArea!$W$7,AI18)))</xm:f>
            <xm:f>Calculations_MonitorArea!$W$7</xm:f>
            <x14:dxf>
              <fill>
                <patternFill>
                  <bgColor rgb="FF92D050"/>
                </patternFill>
              </fill>
            </x14:dxf>
          </x14:cfRule>
          <xm:sqref>AI18:AI23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F7CAE3-CD91-488C-BEA0-15C2412FB117}">
          <x14:formula1>
            <xm:f>Calculations_KeyboardArea!$D$15:$D$58</xm:f>
          </x14:formula1>
          <xm:sqref>R91</xm:sqref>
        </x14:dataValidation>
        <x14:dataValidation type="list" allowBlank="1" showInputMessage="1" showErrorMessage="1" xr:uid="{CD6C338B-C897-4800-A0BB-AFCF91B510FD}">
          <x14:formula1>
            <xm:f>Calculations_KeyboardArea!$M$13:$M$21</xm:f>
          </x14:formula1>
          <xm:sqref>Z91</xm:sqref>
        </x14:dataValidation>
        <x14:dataValidation type="list" allowBlank="1" showInputMessage="1" showErrorMessage="1" xr:uid="{3053451F-49D9-4983-8269-39ED723AD32A}">
          <x14:formula1>
            <xm:f>Calculations_KeyboardArea!$P$13:$P$113</xm:f>
          </x14:formula1>
          <xm:sqref>AH91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Calculations_MonitorArea</vt:lpstr>
      <vt:lpstr>Calculations_KeyboardArea</vt:lpstr>
      <vt:lpstr>Case 2_Dashboard</vt:lpstr>
      <vt:lpstr>Calculations_MonitorArea!Bob_Savings_Rate</vt:lpstr>
      <vt:lpstr>'Case 2_Dashboard'!Bob_Savings_Rate</vt:lpstr>
      <vt:lpstr>Calculations_MonitorArea!Income_Growth_Rate</vt:lpstr>
      <vt:lpstr>'Case 2_Dashboard'!Income_Growth_Rate</vt:lpstr>
      <vt:lpstr>Calculations_MonitorArea!PCT_Final_Income</vt:lpstr>
      <vt:lpstr>'Case 2_Dashboard'!PCT_Final_Income</vt:lpstr>
      <vt:lpstr>Retirement_Age</vt:lpstr>
      <vt:lpstr>Calculations_MonitorArea!ROA_Post</vt:lpstr>
      <vt:lpstr>'Case 2_Dashboard'!ROA_Post</vt:lpstr>
      <vt:lpstr>Calculations_MonitorArea!ROA_Pre</vt:lpstr>
      <vt:lpstr>'Case 2_Dashboard'!ROA_Pre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Trent Tucker</dc:creator>
  <cp:lastModifiedBy>Kay Sharma</cp:lastModifiedBy>
  <dcterms:created xsi:type="dcterms:W3CDTF">2020-10-16T03:51:00Z</dcterms:created>
  <dcterms:modified xsi:type="dcterms:W3CDTF">2022-10-23T05:44:35Z</dcterms:modified>
</cp:coreProperties>
</file>